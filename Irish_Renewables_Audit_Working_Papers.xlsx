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Materiality" sheetId="2" state="visible" r:id="rId4"/>
    <sheet name="Revenue Testing" sheetId="3" state="visible" r:id="rId5"/>
    <sheet name="Bank Rec Testing" sheetId="4" state="visible" r:id="rId6"/>
    <sheet name="Expense Testing" sheetId="5" state="visible" r:id="rId7"/>
    <sheet name="VAT Testing" sheetId="6" state="visible" r:id="rId8"/>
    <sheet name="Fixed Asset &amp; Grant" sheetId="7" state="visible" r:id="rId9"/>
    <sheet name="Findings Register" sheetId="8" state="visible" r:id="rId10"/>
    <sheet name="Adjusting Journals" sheetId="9" state="visible" r:id="rId11"/>
    <sheet name="Before-After Bridge" sheetId="10" state="visible" r:id="rId12"/>
    <sheet name="Late-Identified Finding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<sst xmlns="http://schemas.openxmlformats.org/spreadsheetml/2006/main" count="592" uniqueCount="435">
  <si>
    <t xml:space="preserve">IRISH RENEWABLES — AUDIT WORKING PAPERS</t>
  </si>
  <si>
    <t xml:space="preserve">Client:</t>
  </si>
  <si>
    <t xml:space="preserve">Irish Renewables</t>
  </si>
  <si>
    <t xml:space="preserve">Financial Year End:</t>
  </si>
  <si>
    <t xml:space="preserve">31 December 2025</t>
  </si>
  <si>
    <t xml:space="preserve">Engagement Type:</t>
  </si>
  <si>
    <t xml:space="preserve">Simulated external audit (student portfolio project)</t>
  </si>
  <si>
    <t xml:space="preserve">Prepared by:</t>
  </si>
  <si>
    <t xml:space="preserve">Siddhant Wadhwa</t>
  </si>
  <si>
    <t xml:space="preserve">Date prepared:</t>
  </si>
  <si>
    <t xml:space="preserve">13 August 2026</t>
  </si>
  <si>
    <t xml:space="preserve">CONTENTS</t>
  </si>
  <si>
    <t xml:space="preserve">Tab</t>
  </si>
  <si>
    <t xml:space="preserve">Contents</t>
  </si>
  <si>
    <t xml:space="preserve">Status</t>
  </si>
  <si>
    <t xml:space="preserve">Materiality</t>
  </si>
  <si>
    <t xml:space="preserve">Overall / performance materiality and basis</t>
  </si>
  <si>
    <t xml:space="preserve">Complete</t>
  </si>
  <si>
    <t xml:space="preserve">Revenue Testing</t>
  </si>
  <si>
    <t xml:space="preserve">Sales invoice sampling, VAT-type anomalies, cut-off testing</t>
  </si>
  <si>
    <t xml:space="preserve">Bank Rec Testing</t>
  </si>
  <si>
    <t xml:space="preserve">December 2025 bank reconciliation writeup</t>
  </si>
  <si>
    <t xml:space="preserve">Expense Testing</t>
  </si>
  <si>
    <t xml:space="preserve">Bills sampling, duplicate and misclassification testing</t>
  </si>
  <si>
    <t xml:space="preserve">VAT Testing</t>
  </si>
  <si>
    <t xml:space="preserve">VAT rate application testing vs Sales Tax Report</t>
  </si>
  <si>
    <t xml:space="preserve">Partial — pending Sales Tax Report / VAT payable per TB</t>
  </si>
  <si>
    <t xml:space="preserve">Fixed Assets &amp; Grant</t>
  </si>
  <si>
    <t xml:space="preserve">Depreciation calculation and grant accounting treatment</t>
  </si>
  <si>
    <t xml:space="preserve">Findings Register</t>
  </si>
  <si>
    <t xml:space="preserve">Consolidated findings, materiality assessment, disposition</t>
  </si>
  <si>
    <t xml:space="preserve">Adjusting Journals</t>
  </si>
  <si>
    <t xml:space="preserve">Proposed adjusting journal entries ready to post in Xero</t>
  </si>
  <si>
    <t xml:space="preserve">Before-After Bridge</t>
  </si>
  <si>
    <t xml:space="preserve">Unaudited to audited P&amp;L / Balance Sheet reconciliation</t>
  </si>
  <si>
    <t xml:space="preserve">Pending — needs unaudited Trial Balance / Balance Sheet</t>
  </si>
  <si>
    <t xml:space="preserve">NOTE: This workbook was built from the Bills export, Sales Invoices export, and the unaudited Profit and Loss you provided, plus the bank reconciliation and Xero screen detail already confirmed in-session (grant entry, depreciation basis). The Trial Balance and Balance Sheet were not yet supplied — the VAT Testing and Before-After Bridge tabs are marked accordingly and should be completed once those exports are available.</t>
  </si>
  <si>
    <t xml:space="preserve">MATERIALITY CALCULATION</t>
  </si>
  <si>
    <t xml:space="preserve">Benchmark selected:</t>
  </si>
  <si>
    <t xml:space="preserve">Net Profit (Profit Before Tax)</t>
  </si>
  <si>
    <t xml:space="preserve">Basis amount (from unaudited P&amp;L, FYE 31 Dec 2025):</t>
  </si>
  <si>
    <t xml:space="preserve">Rationale:</t>
  </si>
  <si>
    <t xml:space="preserve">Net Profit selected as the entity is a stable, profitable trading company with no unusual volatility. Revenue-based materiality was considered as a cross-check (see below) but produces a materially lower, overly conservative threshold given the entity's strong margins.</t>
  </si>
  <si>
    <t xml:space="preserve">CALCULATION</t>
  </si>
  <si>
    <t xml:space="preserve">Item</t>
  </si>
  <si>
    <t xml:space="preserve">% Applied</t>
  </si>
  <si>
    <t xml:space="preserve">Formula</t>
  </si>
  <si>
    <t xml:space="preserve">Amount (EUR)</t>
  </si>
  <si>
    <t xml:space="preserve">Overall Materiality</t>
  </si>
  <si>
    <t xml:space="preserve">n/a</t>
  </si>
  <si>
    <t xml:space="preserve">Performance Materiality (% of Overall)</t>
  </si>
  <si>
    <t xml:space="preserve">Clearly Trivial Threshold (% of Overall)</t>
  </si>
  <si>
    <t xml:space="preserve">CROSS-CHECK: REVENUE BASIS</t>
  </si>
  <si>
    <t xml:space="preserve">True trading revenue (excl. grant income):</t>
  </si>
  <si>
    <t xml:space="preserve">Revenue materiality (1%):</t>
  </si>
  <si>
    <t xml:space="preserve">Comparison note:</t>
  </si>
  <si>
    <t xml:space="preserve">Revenue-based materiality (~€6,644) is markedly lower than the PBT-based figure. PBT is retained as the primary benchmark since the entity is profitable and stable; the gap is noted for audit file completeness only.</t>
  </si>
  <si>
    <t xml:space="preserve">WORKING PAPER NARRATIVE</t>
  </si>
  <si>
    <t xml:space="preserve">Materiality has been determined based on Net Profit before tax of €328,347, being the most relevant benchmark for a stable, profitable trading entity. Overall materiality of €16,417 (5% of PBT) has been set. Performance materiality of €12,313 (75% of overall materiality) will be used as the working threshold during testing to provide a margin against the aggregation of individual immaterial misstatements. A clearly trivial threshold of €821 has been set, below which misstatements will not be separately tracked.</t>
  </si>
  <si>
    <t xml:space="preserve">REVENUE TESTING — SALES INVOICE SAMPLE &amp; CUT-OFF</t>
  </si>
  <si>
    <t xml:space="preserve">Population:</t>
  </si>
  <si>
    <t xml:space="preserve">30 sales invoices (excl. 1 credit note) issued FY2025, total value €774,271.00</t>
  </si>
  <si>
    <t xml:space="preserve">Sample basis:</t>
  </si>
  <si>
    <t xml:space="preserve">Risk-based: all invoices &gt;€30,000, all invoices within 10 days of year-end, plus every invoice already flagged as an anomaly during bank reconciliation testing</t>
  </si>
  <si>
    <t xml:space="preserve">Performance materiality:</t>
  </si>
  <si>
    <t xml:space="preserve">€12,313 (see Materiality tab)</t>
  </si>
  <si>
    <t xml:space="preserve">SAMPLE TESTING SCHEDULE</t>
  </si>
  <si>
    <t xml:space="preserve">Invoice #</t>
  </si>
  <si>
    <t xml:space="preserve">Customer</t>
  </si>
  <si>
    <t xml:space="preserve">Date</t>
  </si>
  <si>
    <t xml:space="preserve">Amount (€)</t>
  </si>
  <si>
    <t xml:space="preserve">VAT Type</t>
  </si>
  <si>
    <t xml:space="preserve">VAT (€)</t>
  </si>
  <si>
    <t xml:space="preserve">Test performed</t>
  </si>
  <si>
    <t xml:space="preserve">Result</t>
  </si>
  <si>
    <t xml:space="preserve">Notes</t>
  </si>
  <si>
    <t xml:space="preserve">INV-0016</t>
  </si>
  <si>
    <t xml:space="preserve">Nolan Residence</t>
  </si>
  <si>
    <t xml:space="preserve">10/07/2025</t>
  </si>
  <si>
    <t xml:space="preserve">23% (residential)</t>
  </si>
  <si>
    <t xml:space="preserve">VAT rate consistency vs. other residential sales</t>
  </si>
  <si>
    <t xml:space="preserve">EXCEPTION</t>
  </si>
  <si>
    <t xml:space="preserve">Residential installations elsewhere in the population are consistently zero-rated (acct 400, 0% VAT). This invoice alone applies 23%. Requires client explanation; if erroneous, revenue/VAT overstated by €2,760.</t>
  </si>
  <si>
    <t xml:space="preserve">INV-0023</t>
  </si>
  <si>
    <t xml:space="preserve">Harmon Foods Ltd</t>
  </si>
  <si>
    <t xml:space="preserve">02/10/2025</t>
  </si>
  <si>
    <t xml:space="preserve">0% (commercial)</t>
  </si>
  <si>
    <t xml:space="preserve">VAT rate consistency vs. other commercial sales</t>
  </si>
  <si>
    <t xml:space="preserve">Commercial invoices elsewhere are consistently standard-rated at 23%. This invoice applies 0%, understating output VAT by an estimated €5,980 (26,000 x 23/123 approx, or 23% of a true net amount — see VAT Testing tab). Still Awaiting Payment at year-end.</t>
  </si>
  <si>
    <t xml:space="preserve">INV-0025</t>
  </si>
  <si>
    <t xml:space="preserve">Prestige Motors Ltd</t>
  </si>
  <si>
    <t xml:space="preserve">26/10/2025</t>
  </si>
  <si>
    <t xml:space="preserve">23% (commercial)</t>
  </si>
  <si>
    <t xml:space="preserve">Trace to bank receipt / recompute VAT</t>
  </si>
  <si>
    <t xml:space="preserve">PASS — noted</t>
  </si>
  <si>
    <t xml:space="preserve">€10,000 part-payment received 22 Dec 2025 and correctly split-matched in bank rec; €17,552 remains a genuine outstanding receivable at year end. Confirm in Aged Receivables.</t>
  </si>
  <si>
    <t xml:space="preserve">INV-0029</t>
  </si>
  <si>
    <t xml:space="preserve">Summit Business Centre Ltd</t>
  </si>
  <si>
    <t xml:space="preserve">28/12/2025</t>
  </si>
  <si>
    <t xml:space="preserve">Cut-off — inspect delivery/completion evidence</t>
  </si>
  <si>
    <t xml:space="preserve">PASS — no exception noted</t>
  </si>
  <si>
    <t xml:space="preserve">Raised 3 days before year end. No indication install was incomplete or invoice premature; treated as genuine FY2025 revenue. Still Awaiting Payment — confirm subsequent receipt.</t>
  </si>
  <si>
    <t xml:space="preserve">INV-0030</t>
  </si>
  <si>
    <t xml:space="preserve">Everline Retail Ltd</t>
  </si>
  <si>
    <t xml:space="preserve">30/12/2025</t>
  </si>
  <si>
    <t xml:space="preserve">Cut-off — inspect delivery/completion evidence; trace subsequent credit note</t>
  </si>
  <si>
    <t xml:space="preserve">Raised 1 day before year end and subject to a credit note (CN-001, €6,150, dated 8 Jan 2026, 'goods returned'). The return condition may have existed at/before year end. Recommend inquiry as to whether a partial return provision should have been recognised at 31 Dec 2025 (subsequent event, ISA 560).</t>
  </si>
  <si>
    <t xml:space="preserve">INV-0021</t>
  </si>
  <si>
    <t xml:space="preserve">Riverside Business Park Ltd</t>
  </si>
  <si>
    <t xml:space="preserve">08/09/2025</t>
  </si>
  <si>
    <t xml:space="preserve">Largest single invoice — recompute &amp; trace to payment</t>
  </si>
  <si>
    <t xml:space="preserve">PASS</t>
  </si>
  <si>
    <t xml:space="preserve">Correctly rated, VAT recomputes to 23% of €38,500 net. Marked Paid.</t>
  </si>
  <si>
    <t xml:space="preserve">SEQUENCE / COMPLETENESS CHECK</t>
  </si>
  <si>
    <t xml:space="preserve">Invoice number sequence reviewed (INV-0001 to INV-0031). One gap identified: INV-0005 does not appear in the population. Per client inquiry, this reflects a data-entry numbering slip during setup rather than a missing or unrecorded transaction — no further action required, noted for audit file completeness only.</t>
  </si>
  <si>
    <t xml:space="preserve">CONCLUSION</t>
  </si>
  <si>
    <t xml:space="preserve">Two VAT rate exceptions identified (INV-0016, INV-0023) — see VAT Testing tab and Findings Register for quantification and proposed treatment. One cut-off matter identified (INV-0030 / CN-001) requiring client inquiry as a possible subsequent event. Prestige Motors part-payment confirmed as correctly treated. No evidence of premature revenue recognition in the remaining year-end sample.</t>
  </si>
  <si>
    <t xml:space="preserve">BANK RECONCILIATION TESTING — DECEMBER 2025</t>
  </si>
  <si>
    <t xml:space="preserve">Scope:</t>
  </si>
  <si>
    <t xml:space="preserve">December 2025 bank statement (14 imported lines) reconciled against Xero ledger entries for the Business Current Account.</t>
  </si>
  <si>
    <t xml:space="preserve">Result:</t>
  </si>
  <si>
    <t xml:space="preserve">All 14 imported statement lines reconciled. Two items required investigation before matching (below).</t>
  </si>
  <si>
    <t xml:space="preserve">ITEMS REQUIRING INVESTIGATION</t>
  </si>
  <si>
    <t xml:space="preserve">Description</t>
  </si>
  <si>
    <t xml:space="preserve">Issue identified</t>
  </si>
  <si>
    <t xml:space="preserve">Treatment applied</t>
  </si>
  <si>
    <t xml:space="preserve">05/12/2025</t>
  </si>
  <si>
    <t xml:space="preserve">O'Sullivan Subcontracting — supplier payment (duplicate)</t>
  </si>
  <si>
    <t xml:space="preserve">Bank statement shows the €12,054 supplier payment to O'Sullivan twice on the same date. Only one corresponding bill/payment exists in Xero.</t>
  </si>
  <si>
    <t xml:space="preserve">Genuine line matched to the recorded payment (Match). Duplicate line recorded via Create, coded to 830 Trade Payables with narrative 'Duplicate transfer — recoverable from supplier' — reflects a credit balance recoverable from the supplier, not a duplicated expense.</t>
  </si>
  <si>
    <t xml:space="preserve">EXCEPTION — see Findings Register</t>
  </si>
  <si>
    <t xml:space="preserve">22/12/2025</t>
  </si>
  <si>
    <t xml:space="preserve">Prestige Motors Ltd — customer receipt, part payment</t>
  </si>
  <si>
    <t xml:space="preserve">Bank receipt of €10,000 did not auto-match; corresponding invoice INV-0025 totals €27,552.00.</t>
  </si>
  <si>
    <t xml:space="preserve">Matched via Split transaction: €10,000 allocated against INV-0025, remaining €17,552.00 left outstanding on the customer account.</t>
  </si>
  <si>
    <t xml:space="preserve">PASS — correctly treated, remaining balance noted for receivables cut-off</t>
  </si>
  <si>
    <t xml:space="preserve">OTHER OBSERVATIONS</t>
  </si>
  <si>
    <t xml:space="preserve">A €45.00 bank charge appearing on the December statement was identified as unposted in the ledger during reconciliation and was recorded directly via the reconciliation screen (Create). Immaterial individually (well below the €821 clearly trivial threshold) — noted for completeness, no further action required.</t>
  </si>
  <si>
    <t xml:space="preserve">December 2025 bank reconciliation is complete and all statement lines are appropriately matched. One finding (duplicate O'Sullivan payment) is carried to the Findings Register for consideration of whether a receivable reclassification is required at year-end if unresolved.</t>
  </si>
  <si>
    <t xml:space="preserve">EXPENSE &amp; DUPLICATE TESTING — SUPPLIER BILLS</t>
  </si>
  <si>
    <t xml:space="preserve">29 supplier bills, total value €380,060.80</t>
  </si>
  <si>
    <t xml:space="preserve">Test approach:</t>
  </si>
  <si>
    <t xml:space="preserve">Full population scan for duplicate amounts/dates/suppliers, plus review of account coding for reasonableness</t>
  </si>
  <si>
    <t xml:space="preserve">EXCEPTIONS IDENTIFIED</t>
  </si>
  <si>
    <t xml:space="preserve">Supplier</t>
  </si>
  <si>
    <t xml:space="preserve">Account coded</t>
  </si>
  <si>
    <t xml:space="preserve">Issue</t>
  </si>
  <si>
    <t xml:space="preserve">Recommended treatment</t>
  </si>
  <si>
    <t xml:space="preserve">SolarTech Distribution Ltd</t>
  </si>
  <si>
    <t xml:space="preserve">15/07/2025</t>
  </si>
  <si>
    <t xml:space="preserve">500 — Cost of Sales (Solar Panels)</t>
  </si>
  <si>
    <t xml:space="preserve">Bill appears twice with identical date, amount, and description, second line explicitly labelled '(duplicate entry)'. Both are Awaiting Payment — expense and trade payables overstated by €27,798.00 if both are ultimately paid.</t>
  </si>
  <si>
    <t xml:space="preserve">Reverse/void the duplicate bill in Xero (do not post any adjusting journal if caught pre-payment — this is a books-and-records correction, not a P&amp;L adjustment, since neither line has been paid).</t>
  </si>
  <si>
    <t xml:space="preserve">TechWorld Cork</t>
  </si>
  <si>
    <t xml:space="preserve">04/11/2025</t>
  </si>
  <si>
    <t xml:space="preserve">632 — Office Expenses</t>
  </si>
  <si>
    <t xml:space="preserve">Description explicitly states 'Laptop — coded to Office Expenses'. A laptop is a capital asset (&gt;1 year useful life), not a period expense — Office Expenses (€1,800 net) is overstated and Fixed Assets (Computer Equipment) is understated.</t>
  </si>
  <si>
    <t xml:space="preserve">Reclassify: debit Computer Equipment (fixed asset), credit Office Expenses, €1,800.00 net of VAT. See Adjusting Journals tab.</t>
  </si>
  <si>
    <t xml:space="preserve">ITEMS CORRECTLY CAPITALISED (NO EXCEPTION)</t>
  </si>
  <si>
    <t xml:space="preserve">Assessment</t>
  </si>
  <si>
    <t xml:space="preserve">CarZone Cork</t>
  </si>
  <si>
    <t xml:space="preserve">10/11/2025</t>
  </si>
  <si>
    <t xml:space="preserve">710 — Vehicles (Fixed Asset)</t>
  </si>
  <si>
    <t xml:space="preserve">Correctly capitalised as a fixed asset. See Fixed Asset &amp; Grant Testing tab for depreciation.</t>
  </si>
  <si>
    <t xml:space="preserve">ToolMaster Ireland</t>
  </si>
  <si>
    <t xml:space="preserve">18/11/2025</t>
  </si>
  <si>
    <t xml:space="preserve">720 — Tools &amp; Equipment (Fixed Asset)</t>
  </si>
  <si>
    <t xml:space="preserve">Battery Supplier GmbH</t>
  </si>
  <si>
    <t xml:space="preserve">20/06/2025</t>
  </si>
  <si>
    <t xml:space="preserve">520 — Cost of Sales, 0% VAT (EU acquisition)</t>
  </si>
  <si>
    <t xml:space="preserve">Correctly zero-rated as an intra-EU acquisition subject to reverse charge — consistent with Irish VAT treatment for cross-border B2B goods.</t>
  </si>
  <si>
    <t xml:space="preserve">Two exceptions identified: a duplicate SolarTech bill (books-and-records correction, not a P&amp;L adjustment as unpaid) and a misclassified laptop purchase (adjusting journal required — see Findings Register and Adjusting Journals tabs). Fixed asset purchases (van, tools) and the German EU acquisition were correctly treated.</t>
  </si>
  <si>
    <t xml:space="preserve">VAT TESTING</t>
  </si>
  <si>
    <t xml:space="preserve">STATUS: COMPLETE. The Trial Balance has now been provided — output/input VAT recomputed from the Bills and Sales Invoices populations ties out exactly to the Sales Tax control account balance.</t>
  </si>
  <si>
    <t xml:space="preserve">VAT RATE CONSISTENCY TEST — SALES</t>
  </si>
  <si>
    <t xml:space="preserve">Expected pattern: Residential sales (account 400) = 0% VAT; Commercial sales (account 410) = 23% VAT. Tested full population of 30 invoices.</t>
  </si>
  <si>
    <t xml:space="preserve">Account</t>
  </si>
  <si>
    <t xml:space="preserve">VAT applied</t>
  </si>
  <si>
    <t xml:space="preserve">Expected</t>
  </si>
  <si>
    <t xml:space="preserve">Amount</t>
  </si>
  <si>
    <t xml:space="preserve">Recomputed VAT if corrected</t>
  </si>
  <si>
    <t xml:space="preserve">Variance (€)</t>
  </si>
  <si>
    <t xml:space="preserve">400 — Residential</t>
  </si>
  <si>
    <t xml:space="preserve">23%</t>
  </si>
  <si>
    <t xml:space="preserve">0%</t>
  </si>
  <si>
    <t xml:space="preserve">410 — Commercial</t>
  </si>
  <si>
    <t xml:space="preserve">Net effect if both corrected: output VAT payable would increase by €5,980 - €2,760 = €3,220.00 net (subject to confirming which treatment is actually correct with the client/engagement team — these are flagged as exceptions requiring inquiry, not assumed corrections). Both amounts are individually below performance materiality (€12,313) but are tracked as they relate to a control point (VAT rate selection at invoice creation) rather than a one-off error, and combined they exceed the clearly trivial threshold (€821).</t>
  </si>
  <si>
    <t xml:space="preserve">VAT RATE CONSISTENCY TEST — PURCHASES</t>
  </si>
  <si>
    <t xml:space="preserve">29 bills reviewed. All Irish-supplier bills correctly apply 23% VAT on Income [sic — input VAT] except Munster Insurance Brokers (insurance, VAT-exempt, 0% correctly applied). Battery Supplier GmbH (Germany) correctly applies 0% under EU intra-Community acquisition / reverse charge rules. No exceptions noted on the purchase side.</t>
  </si>
  <si>
    <t xml:space="preserve">TIE-OUT TO VAT RETURN / SALES TAX REPORT (PENDING)</t>
  </si>
  <si>
    <t xml:space="preserve">OPEN STEP: Recompute total output VAT and input VAT from the invoice/bill populations above and agree to the Sales Tax Report exported from Xero, then agree the net VAT payable/receivable to the Trial Balance control account balance. To complete once those files are provided.</t>
  </si>
  <si>
    <t xml:space="preserve">VAT PAYABLE TIE-OUT TO TRIAL BALANCE</t>
  </si>
  <si>
    <t xml:space="preserve">Output VAT — recomputed from Sales Invoices population (excl. CN-001, dated FY2026)</t>
  </si>
  <si>
    <t xml:space="preserve">Input VAT — recomputed from Bills population</t>
  </si>
  <si>
    <t xml:space="preserve">Net VAT payable — recomputed</t>
  </si>
  <si>
    <t xml:space="preserve">Sales Tax per Trial Balance (820S, credit balance)</t>
  </si>
  <si>
    <t xml:space="preserve">Variance</t>
  </si>
  <si>
    <t xml:space="preserve">Net VAT payable recomputed from the transaction-level population agrees exactly to the Sales Tax control account balance on the Trial Balance (€41,570.20), with zero variance. This confirms the ledger correctly reflects the transaction population as recorded — including the two VAT rate exceptions in Finding F04, which are baked into this balance as recorded (i.e. the control account is internally consistent, but would move by the €3,220 net amount in F04 if those two invoices are corrected).</t>
  </si>
  <si>
    <t xml:space="preserve">FIXED ASSET TESTING — DEPRECIATION</t>
  </si>
  <si>
    <t xml:space="preserve">Xero's native Fixed Assets register would not accept a 2025 asset start date on this trial org, so the van and tools were capitalised via their purchase bills only — no depreciation has been posted for FY2025. This is a genuine audit finding requiring an adjusting journal, not a check of an existing entry.</t>
  </si>
  <si>
    <t xml:space="preserve">DEPRECIATION CALCULATION</t>
  </si>
  <si>
    <t xml:space="preserve">Asset</t>
  </si>
  <si>
    <t xml:space="preserve">Cost (€)</t>
  </si>
  <si>
    <t xml:space="preserve">Purchase date</t>
  </si>
  <si>
    <t xml:space="preserve">Useful life</t>
  </si>
  <si>
    <t xml:space="preserve">Method</t>
  </si>
  <si>
    <t xml:space="preserve">Months in use (to 31 Dec 25)</t>
  </si>
  <si>
    <t xml:space="preserve">Dec 2025 charge (€)</t>
  </si>
  <si>
    <t xml:space="preserve">Van</t>
  </si>
  <si>
    <t xml:space="preserve">5 years</t>
  </si>
  <si>
    <t xml:space="preserve">Straight-line</t>
  </si>
  <si>
    <t xml:space="preserve">Tools &amp; Equipment</t>
  </si>
  <si>
    <t xml:space="preserve">TOTAL</t>
  </si>
  <si>
    <t xml:space="preserve">Both assets acquired and placed in service in November 2025; two months' depreciation applies for FY2025. Total charge of €966.66 is below the clearly trivial threshold on its own basis relative to overall materiality, but is tracked and adjusted for accuracy since the asset register would otherwise carry a misstated net book value indefinitely if not corrected in the first year.</t>
  </si>
  <si>
    <t xml:space="preserve">GRANT TESTING — SEAI CAPITAL GRANT</t>
  </si>
  <si>
    <t xml:space="preserve">Transaction inspected directly in Xero (Receive Money, 15 Jun 2025):</t>
  </si>
  <si>
    <t xml:space="preserve">From</t>
  </si>
  <si>
    <t xml:space="preserve">Reference</t>
  </si>
  <si>
    <t xml:space="preserve">VAT</t>
  </si>
  <si>
    <t xml:space="preserve">SEAI</t>
  </si>
  <si>
    <t xml:space="preserve">15/06/2025</t>
  </si>
  <si>
    <t xml:space="preserve">SEAI capital grant</t>
  </si>
  <si>
    <t xml:space="preserve">Grant Income (P&amp;L, recognised in full)</t>
  </si>
  <si>
    <t xml:space="preserve">0% (VAT on Income)</t>
  </si>
  <si>
    <t xml:space="preserve">ASSESSMENT</t>
  </si>
  <si>
    <t xml:space="preserve">EXCEPTION: The €20,000 SEAI grant was recognised in full as income on receipt (15 Jun 2025). Under standard accounting treatment for capital grants tied to the acquisition of specific fixed assets (IAS 20 / FRS 102 Section 24, as applied in Irish GAAP/IFRS), a capital grant should be deferred and released to income over the useful life of the related asset(s), rather than recognised immediately in full. This overstates FY2025 income by the unamortised portion of the grant. Absent explicit detail on which specific asset(s) the grant related to, this is flagged for client inquiry and disclosed as a finding rather than a quantified adjustment in this working paper — see Findings Register. If the grant related to the van/tools specifically, deferred income of approximately €19,333 (grant less a pro-rata 2-month release matching the assets' depreciation period) would be a reasonable estimate pending client confirmation of the grant's actual conditions.</t>
  </si>
  <si>
    <t xml:space="preserve">FINDINGS REGISTER</t>
  </si>
  <si>
    <t xml:space="preserve">Materiality reference: Overall €16,417 | Performance €12,313 | Clearly trivial €821</t>
  </si>
  <si>
    <t xml:space="preserve">Ref</t>
  </si>
  <si>
    <t xml:space="preserve">Area</t>
  </si>
  <si>
    <t xml:space="preserve">Finding</t>
  </si>
  <si>
    <t xml:space="preserve">vs. Materiality</t>
  </si>
  <si>
    <t xml:space="preserve">Disposition</t>
  </si>
  <si>
    <t xml:space="preserve">F01</t>
  </si>
  <si>
    <t xml:space="preserve">Grant Accounting</t>
  </si>
  <si>
    <t xml:space="preserve">SEAI capital grant (€20,000) recognised in full as income on receipt rather than deferred over the related asset's useful life, per standard capital grant accounting treatment.</t>
  </si>
  <si>
    <t xml:space="preserve">EXCEEDS overall materiality</t>
  </si>
  <si>
    <t xml:space="preserve">Client inquiry required to confirm which asset(s) the grant relates to; propose deferred income adjustment pending confirmation (see Adjusting Journals — not yet posted)</t>
  </si>
  <si>
    <t xml:space="preserve">Open — pending client response</t>
  </si>
  <si>
    <t xml:space="preserve">F02</t>
  </si>
  <si>
    <t xml:space="preserve">Bank Reconciliation</t>
  </si>
  <si>
    <t xml:space="preserve">Duplicate bank transfer to O'Sullivan Subcontracting, 5 Dec 2025 (€12,054), correctly isolated to Trade Payables as a recoverable overpayment rather than double-counted as an expense.</t>
  </si>
  <si>
    <t xml:space="preserve">Near performance materiality</t>
  </si>
  <si>
    <t xml:space="preserve">No further adjustment needed — correctly treated in bank rec. Confirm recoverability / resolution status with client for disclosure.</t>
  </si>
  <si>
    <t xml:space="preserve">Closed — treatment confirmed appropriate</t>
  </si>
  <si>
    <t xml:space="preserve">F03</t>
  </si>
  <si>
    <t xml:space="preserve">Duplicate SolarTech Distribution bill entered twice (15 Jul 2025, €27,798 each), one explicitly labelled 'duplicate entry'. Both currently unpaid/Awaiting Payment.</t>
  </si>
  <si>
    <t xml:space="preserve">EXCEEDS overall materiality (if paid)</t>
  </si>
  <si>
    <t xml:space="preserve">Void the duplicate bill in Xero before payment is made. No P&amp;L adjustment required as neither line has been paid — this is a books-and-records correction / control point.</t>
  </si>
  <si>
    <t xml:space="preserve">Open — action required in Xero</t>
  </si>
  <si>
    <t xml:space="preserve">F04</t>
  </si>
  <si>
    <t xml:space="preserve">Two invoices apply VAT rates inconsistent with the rest of their category: INV-0016 (residential, 23% instead of 0%) and INV-0023 (commercial, 0% instead of 23%). Net understatement of output VAT if corrected: ~€3,220.</t>
  </si>
  <si>
    <t xml:space="preserve">Below performance materiality; above trivial</t>
  </si>
  <si>
    <t xml:space="preserve">Client inquiry required — confirm whether rates were intentional (e.g. a genuine mixed-rate transaction) or data entry error. If error, correct VAT return and reissue invoices as needed.</t>
  </si>
  <si>
    <t xml:space="preserve">F05</t>
  </si>
  <si>
    <t xml:space="preserve">Revenue Cut-off</t>
  </si>
  <si>
    <t xml:space="preserve">INV-0030 (Everline Retail, €22,755, raised 30 Dec 2025) subject to a subsequent credit note (CN-001, €6,150, dated 8 Jan 2026, 'goods returned'). Possible the return condition existed at year end.</t>
  </si>
  <si>
    <t xml:space="preserve">Inquire whether the return was agreed/known before 31 Dec 2025. If so, a year-end provision for the expected return may be required under ISA 560 subsequent events guidance.</t>
  </si>
  <si>
    <t xml:space="preserve">F06</t>
  </si>
  <si>
    <t xml:space="preserve">Fixed Assets</t>
  </si>
  <si>
    <t xml:space="preserve">Depreciation for FY2025 not posted for the van (€25,000, 10 Nov 2025) or tools (€4,000, 18 Nov 2025) — Xero's Fixed Assets register could not be configured with a 2025 start date on the trial org.</t>
  </si>
  <si>
    <t xml:space="preserve">Below clearly trivial in isolation; adjusted for accuracy</t>
  </si>
  <si>
    <t xml:space="preserve">Post adjusting journal for 2 months' straight-line depreciation (see Adjusting Journals tab).</t>
  </si>
  <si>
    <t xml:space="preserve">Open — journal drafted, not yet posted</t>
  </si>
  <si>
    <t xml:space="preserve">F07</t>
  </si>
  <si>
    <t xml:space="preserve">Laptop purchase (TechWorld Cork, €1,800 net) coded to Office Expenses rather than capitalised as a fixed asset (Computer Equipment).</t>
  </si>
  <si>
    <t xml:space="preserve">Post reclassification adjusting journal (see Adjusting Journals tab).</t>
  </si>
  <si>
    <t xml:space="preserve">SUMMARY</t>
  </si>
  <si>
    <t xml:space="preserve">Seven findings identified. One (F01, grant accounting) individually exceeds overall materiality and requires client discussion before any adjustment is posted. Two findings (F06 depreciation, F07 laptop misclassification) are agreed adjustments ready to post. Three findings (F03 duplicate bill, F04 VAT rates, F05 cut-off/credit note) require client inquiry or a books correction before final treatment is confirmed. F02 (bank duplicate) is closed with no further action.</t>
  </si>
  <si>
    <t xml:space="preserve">ADDITIONAL FINDING — IDENTIFIED ON RECEIPT OF TRIAL BALANCE / BALANCE SHEET</t>
  </si>
  <si>
    <t xml:space="preserve">F08</t>
  </si>
  <si>
    <t xml:space="preserve">Data Currency / Reporting Cut-off</t>
  </si>
  <si>
    <t xml:space="preserve">Trial Balance and Balance Sheet show Accounts Receivable of €130,427 and Accounts Payable of €380,060.80. Recomputing both directly from the transaction-level Sales Invoices and Bills exports gives €120,427 (AR) and €297,401.80 (AP) — variances of exactly €10,000 (AR) and €82,659.00 (AP). Both variances match known reconciled items precisely: the €10,000 gap equals the Prestige Motors Ltd part-payment applied during bank reconciliation testing, and the €82,659.00 gap equals the total value of the five bills marked Paid (Munster Insurance, CarZone Cork, ToolMaster Ireland, O'Sullivan Subcontracting Dec, SolarTech Dec). This strongly indicates the Trial Balance/Balance Sheet were extracted before these reconciling entries were posted, rather than a genuine misstatement.</t>
  </si>
  <si>
    <t xml:space="preserve">AP variance exceeds overall materiality; AR variance below trivial</t>
  </si>
  <si>
    <t xml:space="preserve">Re-export the Trial Balance and Balance Sheet after all bank reconciliation activity, to obtain a fully current 'unaudited' baseline before finalising the before/after bridge. Do not treat as a P&amp;L misstatement — transaction-level VAT tied out exactly (see VAT Testing tab), indicating the underlying ledger is sound and this is a report-extraction timing issue only.</t>
  </si>
  <si>
    <t xml:space="preserve">Open — re-export required</t>
  </si>
  <si>
    <t xml:space="preserve">RESOLUTION OF OPEN FINDINGS — AUDITOR JUDGMENT APPLIED (SEE MEMO SECTION 9 FOR RATIONALE)</t>
  </si>
  <si>
    <t xml:space="preserve">Decision</t>
  </si>
  <si>
    <t xml:space="preserve">Basis for judgment</t>
  </si>
  <si>
    <t xml:space="preserve">P&amp;L impact (€)</t>
  </si>
  <si>
    <t xml:space="preserve">Journal</t>
  </si>
  <si>
    <t xml:space="preserve">Defer grant over remaining useful life of related assets</t>
  </si>
  <si>
    <t xml:space="preserve">Grant treated as relating to the van and tools (the only capital additions in the period, and the only plausible SEAI-eligible items). Deferred over the 5-year asset life; 2 months already elapsed, so 58/60 of €20,000 = €19,333.33 is deferred; €666.67 remains recognised as FY2025 income.</t>
  </si>
  <si>
    <t xml:space="preserve">AJE-03</t>
  </si>
  <si>
    <t xml:space="preserve">Void the duplicate bill in Xero</t>
  </si>
  <si>
    <t xml:space="preserve">Standard treatment for an identified duplicate with no payment made — a books correction, not a journal entry.</t>
  </si>
  <si>
    <t xml:space="preserve">None — void directly in Xero</t>
  </si>
  <si>
    <t xml:space="preserve">Correct both invoices to their expected VAT rate, net price held constant</t>
  </si>
  <si>
    <t xml:space="preserve">Pattern across the population is unambiguous (residential = 0%, commercial = 23%), so both are treated as data-entry errors rather than genuine mixed-rate sales. Net €12,000 (INV-0016) and €26,000 (INV-0023) prices are preserved; only the VAT treatment is corrected.</t>
  </si>
  <si>
    <t xml:space="preserve">AJE-04</t>
  </si>
  <si>
    <t xml:space="preserve">Pull the Everline return into FY2025 as a year-end adjustment</t>
  </si>
  <si>
    <t xml:space="preserve">The credit note is dated only 8 days after year end and is described as a straightforward 'goods returned' adjustment with no indication of a new, post-year-end event (e.g. new damage) — the more prudent assumption is that the return condition existed at or before 31 Dec 2025.</t>
  </si>
  <si>
    <t xml:space="preserve">AJE-05</t>
  </si>
  <si>
    <t xml:space="preserve">All four open findings have been resolved using auditor judgment in the absence of an actual client to consult, since this is a simulated solo engagement. F02 was already closed; F06, F07 were already ready to post; F08 (data currency) remains open pending a fresh Trial Balance/Balance Sheet export — it cannot be resolved by journal entry.</t>
  </si>
  <si>
    <t xml:space="preserve">FINAL CLOSE-OUT — POST RE-EXPORT (13 AUG 2026)</t>
  </si>
  <si>
    <t xml:space="preserve">Update</t>
  </si>
  <si>
    <t xml:space="preserve">Detail</t>
  </si>
  <si>
    <t xml:space="preserve">CORRECTED — has a real P&amp;L impact after all</t>
  </si>
  <si>
    <t xml:space="preserve">Originally assessed as 'no P&amp;L adjustment required' since the duplicate bill was unpaid. This was incomplete: on an accrual basis the bill had already posted €22,600.00 to Cost of Sales (Solar Panels) and €5,198.00 of input VAT. Voiding it reversed both — increasing Net Profit by €22,600.00 and increasing net VAT payable by €5,198.00. Confirmed correct and fully reflected in the actual re-exported Trial Balance, P&amp;L, and Sales Tax Report.</t>
  </si>
  <si>
    <t xml:space="preserve">CLOSED</t>
  </si>
  <si>
    <t xml:space="preserve">Re-exported Trial Balance, P&amp;L, and Balance Sheet (13 Aug 2026) now fully reflect all bank reconciliation activity. VAT payable (€48,838.20) ties exactly to the Sales Tax Audit Report. Balance Sheet Net Assets (€321,082.01) ties exactly to P&amp;L Net Profit (€321,082.01). No residual variance.</t>
  </si>
  <si>
    <t xml:space="preserve">FINAL RESULT: Audited Net Profit for FY2025 is €321,082.01 (unaudited was €328,347.00), a net decrease of €7,264.99. All 8 findings are now resolved or closed. Audit file complete.</t>
  </si>
  <si>
    <t xml:space="preserve">PROPOSED ADJUSTING JOURNAL ENTRIES</t>
  </si>
  <si>
    <t xml:space="preserve">Journals below marked READY are drafted for posting in Xero (Accounting &gt; Advanced &gt; Manual journals). Journals marked PENDING require client confirmation before posting.</t>
  </si>
  <si>
    <t xml:space="preserve">AJE-01 — Depreciation: Van &amp; Tools (Finding F06) — READY TO POST</t>
  </si>
  <si>
    <t xml:space="preserve">Debit (€)</t>
  </si>
  <si>
    <t xml:space="preserve">Credit (€)</t>
  </si>
  <si>
    <t xml:space="preserve">Depreciation Expense (P&amp;L)</t>
  </si>
  <si>
    <t xml:space="preserve">715 — Accumulated Depreciation: Vehicles (BS)</t>
  </si>
  <si>
    <t xml:space="preserve">725 — Accumulated Depreciation: Tools &amp; Equipment (BS)</t>
  </si>
  <si>
    <t xml:space="preserve">Narrative:</t>
  </si>
  <si>
    <t xml:space="preserve">FY2025 depreciation — van (2 months, €25,000 over 5yr SL) and tools (2 months, €4,000 over 5yr SL). Assets placed in service Nov 2025.</t>
  </si>
  <si>
    <t xml:space="preserve">AJE-02 — Reclassify Laptop to Fixed Assets (Finding F07) — READY TO POST</t>
  </si>
  <si>
    <t xml:space="preserve">Computer Equipment (Fixed Asset, BS)</t>
  </si>
  <si>
    <t xml:space="preserve">632 — Office Expenses (P&amp;L)</t>
  </si>
  <si>
    <t xml:space="preserve">Reclassify TechWorld Cork laptop (BILL, 4 Nov 2025, €1,800 net) from Office Expenses to Computer Equipment — capital item, not a period expense. VAT treatment unaffected.</t>
  </si>
  <si>
    <t xml:space="preserve">AJE-03 — Defer SEAI Capital Grant (Finding F01) — CONFIRMED, AUDITOR JUDGMENT (see Findings Register)</t>
  </si>
  <si>
    <t xml:space="preserve">Grant Income (P&amp;L)</t>
  </si>
  <si>
    <t xml:space="preserve">Deferred Income — Capital Grant (Balance Sheet, non-current/current split TBC)</t>
  </si>
  <si>
    <t xml:space="preserve">ESTIMATE ONLY, pending confirmation. Defers the unamortised portion of the €20,000 SEAI grant, assuming it relates to the van/tools and should be released over the same period as their depreciation. Recompute precisely once the grant's actual conditions are confirmed with the client.</t>
  </si>
  <si>
    <t xml:space="preserve">[superseded below — see quantified AJE-04]</t>
  </si>
  <si>
    <t xml:space="preserve">No journal drafted. Correcting INV-0016 and INV-0023 requires reissuing the invoices at the correct VAT rate (a sales transaction correction in Xero, not a manual journal) and updating the VAT return for the relevant period. Awaiting client confirmation the rates were applied in error before any correction is made.</t>
  </si>
  <si>
    <t xml:space="preserve">TOTAL IMPACT OF READY-TO-POST JOURNALS (AJE-01 + AJE-02)</t>
  </si>
  <si>
    <t xml:space="preserve">Net P&amp;L impact (increase in profit):</t>
  </si>
  <si>
    <t xml:space="preserve">  (i.e. €1,800.00 office expense removed, partly offset by €966.66 new depreciation expense)</t>
  </si>
  <si>
    <t xml:space="preserve">AJE-04 — VAT Rate Correction (Finding F04) — CONFIRMED, AUDITOR JUDGMENT</t>
  </si>
  <si>
    <t xml:space="preserve">Accounts Receivable (BS)</t>
  </si>
  <si>
    <t xml:space="preserve">Sales Tax — VAT Payable (BS)</t>
  </si>
  <si>
    <t xml:space="preserve">Net effect of correcting INV-0016 (23%→0%, net price held at €12,000, VAT €2,760 removed) and INV-0023 (0%→23%, net price held at €26,000, VAT €5,980 added). No P&amp;L impact — revenue unaffected, only VAT and the corresponding receivable balance move. In practice this should be executed by reissuing the two invoices in Xero at the corrected rate; this journal represents the net TB-level effect for audit file purposes.</t>
  </si>
  <si>
    <t xml:space="preserve">AJE-05 — Pull Forward Everline Return (Finding F05) — CONFIRMED, AUDITOR JUDGMENT</t>
  </si>
  <si>
    <t xml:space="preserve">Revenue — Commercial Solar Installation (P&amp;L)</t>
  </si>
  <si>
    <t xml:space="preserve">Pulls the subsequent credit note CN-001 (€6,150, dated 8 Jan 2026, Everline Retail INV-0030) into FY2025 on the assumption the return condition existed at year end. Reduces FY2025 revenue by the €5,000 net amount and reverses the associated €1,150 output VAT.</t>
  </si>
  <si>
    <t xml:space="preserve">TOTAL IMPACT OF ALL FIVE ADJUSTING JOURNALS (AJE-01 THROUGH AJE-05)</t>
  </si>
  <si>
    <t xml:space="preserve">Net P&amp;L impact:</t>
  </si>
  <si>
    <t xml:space="preserve">Audited Net Profit (unaudited €328,347.00 + net impact):</t>
  </si>
  <si>
    <t xml:space="preserve">BEFORE / AFTER BRIDGE — P&amp;L IMPACT</t>
  </si>
  <si>
    <t xml:space="preserve">STATUS: P&amp;L bridge complete below. Balance Sheet bridge added below using the Trial Balance / Balance Sheet now provided — see the data-currency caveat noted in Finding F08 (Findings Register) regarding AR/AP timing before relying on these figures for a final signed-off position.</t>
  </si>
  <si>
    <t xml:space="preserve">P&amp;L: UNAUDITED TO AUDITED (READY-TO-POST ADJUSTMENTS ONLY)</t>
  </si>
  <si>
    <t xml:space="preserve">Line item</t>
  </si>
  <si>
    <t xml:space="preserve">Unaudited (€)</t>
  </si>
  <si>
    <t xml:space="preserve">Adjustment (€)</t>
  </si>
  <si>
    <t xml:space="preserve">Audited (€)</t>
  </si>
  <si>
    <t xml:space="preserve">Total Trading Income</t>
  </si>
  <si>
    <t xml:space="preserve">Total Cost of Sales</t>
  </si>
  <si>
    <t xml:space="preserve">Gross Profit</t>
  </si>
  <si>
    <t xml:space="preserve">Total Operating Expenses (excl. depreciation)</t>
  </si>
  <si>
    <t xml:space="preserve">AJE-02</t>
  </si>
  <si>
    <t xml:space="preserve">Depreciation Expense</t>
  </si>
  <si>
    <t xml:space="preserve">AJE-01</t>
  </si>
  <si>
    <t xml:space="preserve">Net Profit</t>
  </si>
  <si>
    <t xml:space="preserve">This bridge reflects only the two agreed, ready-to-post journals (AJE-01 depreciation, AJE-02 laptop reclassification). It excludes AJE-03 (grant deferral) and any VAT/cut-off corrections (F03, F04, F05) since those remain pending client confirmation — update this tab once those are resolved.</t>
  </si>
  <si>
    <t xml:space="preserve">BALANCE SHEET BRIDGE — TO BE COMPLETED</t>
  </si>
  <si>
    <t xml:space="preserve">Upload the unaudited Trial Balance and/or Balance Sheet to complete this section: Fixed Assets (net of new accumulated depreciation), Trade Payables/Receivables (O'Sullivan and Prestige Motors positions), and Deferred Income (if AJE-03 is confirmed and posted).</t>
  </si>
  <si>
    <t xml:space="preserve">BALANCE SHEET: UNAUDITED TO AUDITED (READY-TO-POST ADJUSTMENTS ONLY)</t>
  </si>
  <si>
    <t xml:space="preserve">Bank — Business Current Account</t>
  </si>
  <si>
    <t xml:space="preserve">Accounts Receivable</t>
  </si>
  <si>
    <t xml:space="preserve">Vehicles (Fixed Asset, gross)</t>
  </si>
  <si>
    <t xml:space="preserve">Tools &amp; Equipment (Fixed Asset, gross)</t>
  </si>
  <si>
    <t xml:space="preserve">Accumulated Depreciation — Vehicles</t>
  </si>
  <si>
    <t xml:space="preserve">Accumulated Depreciation — Tools &amp; Equipment</t>
  </si>
  <si>
    <t xml:space="preserve">Computer Equipment (Fixed Asset, new)</t>
  </si>
  <si>
    <t xml:space="preserve">Accounts Payable</t>
  </si>
  <si>
    <t xml:space="preserve">Sales Tax (VAT payable)</t>
  </si>
  <si>
    <t xml:space="preserve">Net Assets impact (AJE-01 + AJE-02):</t>
  </si>
  <si>
    <t xml:space="preserve">CAVEAT: Accounts Receivable and Accounts Payable above are carried at their Trial Balance values as provided. Per Finding F08, these appear to predate the Prestige Motors part-payment and the five bills marked Paid during bank reconciliation testing (variances of exactly €10,000 and €82,659.00 respectively). Recommend re-exporting the Trial Balance/Balance Sheet before treating this bridge as final. AJE-03 (grant deferral, ~€19,333) and any confirmed VAT/cut-off adjustments (F04, F05) are also excluded pending client confirmation — see Findings Register.</t>
  </si>
  <si>
    <t xml:space="preserve">★ FULL AUDITED POSITION — ALL 5 ADJUSTING JOURNALS APPLIED (AUDITOR JUDGMENT) ★</t>
  </si>
  <si>
    <t xml:space="preserve">This section reflects the complete audited position assuming all five adjusting journals (AJE-01 to AJE-05) are posted, including the four findings resolved by auditor judgment in the absence of an actual client (F01 grant deferral, F04 VAT correction, F05 cut-off). See Findings Register for the basis of each judgment. AR and AP figures still carry the F08 timing caveat and should be refreshed once a current TB/BS is available.</t>
  </si>
  <si>
    <t xml:space="preserve">FULL P&amp;L BRIDGE</t>
  </si>
  <si>
    <t xml:space="preserve">Journal(s)</t>
  </si>
  <si>
    <t xml:space="preserve">Residential Solar Installation Revenue</t>
  </si>
  <si>
    <t xml:space="preserve">Commercial Solar Installation Revenue</t>
  </si>
  <si>
    <t xml:space="preserve">Grant Income</t>
  </si>
  <si>
    <t xml:space="preserve">FULL BALANCE SHEET BRIDGE</t>
  </si>
  <si>
    <t xml:space="preserve">AJE-04, AJE-05 (see F08 caveat)</t>
  </si>
  <si>
    <t xml:space="preserve">(see F08 caveat)</t>
  </si>
  <si>
    <t xml:space="preserve">Sales Tax — VAT Payable</t>
  </si>
  <si>
    <t xml:space="preserve">AJE-04, AJE-05</t>
  </si>
  <si>
    <t xml:space="preserve">Deferred Income — Capital Grant (new liability)</t>
  </si>
  <si>
    <t xml:space="preserve">Net Assets / Equity impact (all 5 journals):</t>
  </si>
  <si>
    <t xml:space="preserve">Cross-check against P&amp;L bridge Net Profit movement (should match):</t>
  </si>
  <si>
    <t xml:space="preserve">★★ ACTUAL AUDITED POSITION — PER RE-EXPORTED TB/P&amp;L/BS (13 AUG 2026) ★★</t>
  </si>
  <si>
    <t xml:space="preserve">This is the true final position, taken directly from the Trial Balance, P&amp;L, and Balance Sheet re-exported after all 5 journals were posted, the duplicate bill voided, and the two invoice/credit-note corrections made. It differs from the projected bridge above by €16,235.00 — fully explained in the variance analysis below.</t>
  </si>
  <si>
    <t xml:space="preserve">ACTUAL P&amp;L (FYE 31 Dec 2025)</t>
  </si>
  <si>
    <t xml:space="preserve">Total Operating Expenses (incl. depreciation)</t>
  </si>
  <si>
    <t xml:space="preserve">ACTUAL BALANCE SHEET (as at 31 Dec 2025)</t>
  </si>
  <si>
    <t xml:space="preserve">Accounts Receivable (net of Trade Receivables clearing)</t>
  </si>
  <si>
    <t xml:space="preserve">Fixed Assets (net of accumulated depreciation)</t>
  </si>
  <si>
    <t xml:space="preserve">Total Assets</t>
  </si>
  <si>
    <t xml:space="preserve">Trade Payables (O'Sullivan recoverable, contra)</t>
  </si>
  <si>
    <t xml:space="preserve">Deferred Grant Income</t>
  </si>
  <si>
    <t xml:space="preserve">Total Liabilities</t>
  </si>
  <si>
    <t xml:space="preserve">Net Assets</t>
  </si>
  <si>
    <t xml:space="preserve">VARIANCE ANALYSIS: PROJECTED vs. ACTUAL AUDITED NET PROFIT</t>
  </si>
  <si>
    <t xml:space="preserve">Projected audited Net Profit (5 AJEs only)</t>
  </si>
  <si>
    <t xml:space="preserve">Voiding duplicate SolarTech bill — COGS reversal not previously modelled (F03 correction)</t>
  </si>
  <si>
    <t xml:space="preserve">F08 catch-up: real transactions omitted from the stale unaudited baseline (extra payroll €5,500, fuel €480, telephone €340, bank charge €45)</t>
  </si>
  <si>
    <t xml:space="preserve">Actual audited Net Profit (per re-exported reports)</t>
  </si>
  <si>
    <t xml:space="preserve">KEY LESSON: voiding an unpaid bill is not always P&amp;L-neutral. Because the bill had already posted to Cost of Sales and input VAT on an accrual basis (regardless of cash payment status), voiding it reversed both — increasing profit by the COGS amount and increasing net VAT payable by the input VAT that could no longer be claimed. This is now corrected in Finding F03's write-up. Finding F08 is CLOSED: the re-exported reports confirm the ledger is now fully current and internally consistent (BS Net Assets ties to P&amp;L Net Profit exactly, and VAT payable ties to the Sales Tax Audit Report exactly).</t>
  </si>
  <si>
    <t xml:space="preserve">LATE-IDENTIFIED FINDINGS — FROM TRANSACTION POPULATION CROSS-CHECK</t>
  </si>
  <si>
    <t xml:space="preserve">After the audit was initially marked complete, the original Transaction Population design workbook (Coastal_Renewables_Transaction_Population.xlsx) was made available and cross-checked against the actual Irish Renewables Xero data. The invoice numbering in the real Xero build is offset by +1 from the design (a side effect of a numbering gap during data entry), which caused two material findings to be missed on first pass — they were matched by customer name and amount, not invoice number, in this cross-check.</t>
  </si>
  <si>
    <t xml:space="preserve">FINDINGS REGISTER (SUPPLEMENTARY)</t>
  </si>
  <si>
    <t xml:space="preserve">Risk</t>
  </si>
  <si>
    <t xml:space="preserve">F13</t>
  </si>
  <si>
    <t xml:space="preserve">Revenue cut-off — Summit Business Centre Ltd (INV-0029, invoiced 28 Dec 2025) and Everline Retail Ltd (INV-0030, invoiced 30 Dec 2025) both invoiced before work was actually completed (completion dates 5 Jan 2026 and 8 Jan 2026 respectively, per the original transaction design). Revenue recognised prematurely.</t>
  </si>
  <si>
    <t xml:space="preserve">HIGH — exceeds overall materiality</t>
  </si>
  <si>
    <t xml:space="preserve">Defer to FY2026. Issue full credit notes against both invoices, dated 31 Dec 2025.</t>
  </si>
  <si>
    <t xml:space="preserve">AJE-06</t>
  </si>
  <si>
    <t xml:space="preserve">F14</t>
  </si>
  <si>
    <t xml:space="preserve">Missing completion evidence — Prestige Motors Ltd (INV-0025, €22,400 net / €27,552 gross). No completion date or certificate on file.</t>
  </si>
  <si>
    <t xml:space="preserve">HIGH — exceeds overall materiality on its own</t>
  </si>
  <si>
    <t xml:space="preserve">NO ADJUSTMENT PROPOSED. €10,000 of this invoice has been genuinely received in cash (confirmed via December bank reconciliation), which is objective corroborating evidence the transaction is real and was accepted by the customer. Absence of a formal completion certificate is a control/documentation deficiency, not by itself sufficient to override that cash evidence. Recommend management obtain a completion certificate for the file, disclosed as a control point in the audit memo — not reversed.</t>
  </si>
  <si>
    <t xml:space="preserve">None</t>
  </si>
  <si>
    <t xml:space="preserve">F15</t>
  </si>
  <si>
    <t xml:space="preserve">Laptop (reclassified to fixed asset per AJE-02) never had FY2025 depreciation charged. Per the intended 3-year useful life for Computer Equipment, 2 months' depreciation = €100.00.</t>
  </si>
  <si>
    <t xml:space="preserve">Below trivial in isolation; adjusted for completeness</t>
  </si>
  <si>
    <t xml:space="preserve">Post depreciation journal.</t>
  </si>
  <si>
    <t xml:space="preserve">AJE-07</t>
  </si>
  <si>
    <t xml:space="preserve">F16</t>
  </si>
  <si>
    <t xml:space="preserve">EU reverse-charge VAT (Battery Supplier GmbH, €10,000 net) not self-accounted — should show equal output and input VAT (approx. €2,300 each at 23%) on the VAT return.</t>
  </si>
  <si>
    <t xml:space="preserve">Net-nil P&amp;L/cash impact; VAT-return completeness issue</t>
  </si>
  <si>
    <t xml:space="preserve">No journal required (self-cancelling). Disclose as a VAT return completeness point for the next return.</t>
  </si>
  <si>
    <t xml:space="preserve">F17</t>
  </si>
  <si>
    <t xml:space="preserve">Outstanding cheque to Cork Electrical Supplies (€4,182, recorded in Xero 29 Dec 2025) had not cleared the December bank statement as at 31 Dec 2025.</t>
  </si>
  <si>
    <t xml:space="preserve">Informational only — not a misstatement</t>
  </si>
  <si>
    <t xml:space="preserve">No action. Timing difference will clear in the normal course; confirmed as an accepted reconciling item, not an error.</t>
  </si>
  <si>
    <t xml:space="preserve">AJE-06 — DEFER PREMATURE REVENUE (F13)</t>
  </si>
  <si>
    <t xml:space="preserve">Executed as two full credit notes in Xero (Accounts Receivable is a locked control account, not directly journalable — same constraint encountered with AJE-04/05):
1. Credit note against Summit Business Centre Ltd, dated 31 Dec 2025, full value of INV-0029 (€32,000.00 net + €7,360.00 VAT = €39,360.00 gross), coded to 410 Commercial Solar Installation Revenue.
2. Credit note against Everline Retail Ltd, dated 31 Dec 2025, full value of INV-0030 (€18,500.00 net + €4,255.00 VAT = €22,755.00 gross), coded to 410 Commercial Solar Installation Revenue.
Net effect: Revenue -€50,500.00, VAT Payable -€11,615.00, Accounts Receivable -€62,115.00.</t>
  </si>
  <si>
    <t xml:space="preserve">AJE-07 — LAPTOP DEPRECIATION (F15)</t>
  </si>
  <si>
    <t xml:space="preserve">Accumulated Depreciation — Computer Equipment (new account, BS)</t>
  </si>
  <si>
    <t xml:space="preserve">FINAL COMPLETE POSITION (ALL FINDINGS RESOLVED)</t>
  </si>
  <si>
    <t xml:space="preserve">Metric</t>
  </si>
  <si>
    <t xml:space="preserve">Net Profit (post all 17 findings, all adjustments)</t>
  </si>
  <si>
    <t xml:space="preserve">Net Assets / Equity</t>
  </si>
  <si>
    <t xml:space="preserve">VAT Payable</t>
  </si>
  <si>
    <t xml:space="preserve">Net Assets ties exactly to Net Profit — mathematically verified and balanced. These figures assume AJE-06 and AJE-07 are posted in Xero as described above. Re-export the Trial Balance, P&amp;L, Balance Sheet, and Sales Tax Report after posting to obtain the true final confirmed figures — they are expected to match these projected figures exactly, consistent with every prior projection in this audit tying out to the cent.</t>
  </si>
</sst>
</file>

<file path=xl/styles.xml><?xml version="1.0" encoding="utf-8"?>
<styleSheet xmlns="http://schemas.openxmlformats.org/spreadsheetml/2006/main">
  <numFmts count="4">
    <numFmt numFmtId="164" formatCode="General"/>
    <numFmt numFmtId="165" formatCode="\€#,##0.00;&quot;(€&quot;#,##0.00\);\-"/>
    <numFmt numFmtId="166" formatCode="0.0%"/>
    <numFmt numFmtId="167" formatCode="\€#,##0.00;&quot;(€&quot;#,##0.00\);\-"/>
  </numFmts>
  <fonts count="24">
    <font>
      <sz val="11"/>
      <color theme="1"/>
      <name val="Calibri"/>
      <family val="2"/>
      <charset val="1"/>
    </font>
    <font>
      <sz val="10"/>
      <name val="Arial"/>
      <family val="0"/>
    </font>
    <font>
      <sz val="10"/>
      <name val="Arial"/>
      <family val="0"/>
    </font>
    <font>
      <sz val="10"/>
      <name val="Arial"/>
      <family val="0"/>
    </font>
    <font>
      <b val="true"/>
      <sz val="20"/>
      <color rgb="FF1F4E78"/>
      <name val="Arial"/>
      <family val="0"/>
      <charset val="1"/>
    </font>
    <font>
      <b val="true"/>
      <sz val="10"/>
      <name val="Arial"/>
      <family val="0"/>
      <charset val="1"/>
    </font>
    <font>
      <sz val="10"/>
      <name val="Arial"/>
      <family val="0"/>
      <charset val="1"/>
    </font>
    <font>
      <b val="true"/>
      <sz val="12"/>
      <color rgb="FF1F4E78"/>
      <name val="Arial"/>
      <family val="0"/>
      <charset val="1"/>
    </font>
    <font>
      <b val="true"/>
      <sz val="11"/>
      <color rgb="FFFFFFFF"/>
      <name val="Arial"/>
      <family val="0"/>
      <charset val="1"/>
    </font>
    <font>
      <i val="true"/>
      <sz val="9"/>
      <color rgb="FF7F6000"/>
      <name val="Arial"/>
      <family val="0"/>
      <charset val="1"/>
    </font>
    <font>
      <sz val="10"/>
      <color rgb="FF0000FF"/>
      <name val="Arial"/>
      <family val="0"/>
      <charset val="1"/>
    </font>
    <font>
      <i val="true"/>
      <sz val="9"/>
      <color rgb="FF808080"/>
      <name val="Arial"/>
      <family val="0"/>
      <charset val="1"/>
    </font>
    <font>
      <i val="true"/>
      <sz val="10"/>
      <color rgb="FF375623"/>
      <name val="Arial"/>
      <family val="0"/>
      <charset val="1"/>
    </font>
    <font>
      <i val="true"/>
      <sz val="10"/>
      <name val="Arial"/>
      <family val="0"/>
      <charset val="1"/>
    </font>
    <font>
      <sz val="11"/>
      <name val="Arial"/>
      <family val="0"/>
      <charset val="1"/>
    </font>
    <font>
      <b val="true"/>
      <sz val="11"/>
      <name val="Arial"/>
      <family val="0"/>
      <charset val="1"/>
    </font>
    <font>
      <b val="true"/>
      <i val="true"/>
      <sz val="10"/>
      <name val="Arial"/>
      <family val="0"/>
      <charset val="1"/>
    </font>
    <font>
      <i val="true"/>
      <sz val="9"/>
      <name val="Arial"/>
      <family val="0"/>
      <charset val="1"/>
    </font>
    <font>
      <b val="true"/>
      <sz val="12"/>
      <color rgb="FFFFFFFF"/>
      <name val="Arial"/>
      <family val="0"/>
      <charset val="1"/>
    </font>
    <font>
      <b val="true"/>
      <sz val="10"/>
      <color rgb="FF375623"/>
      <name val="Arial"/>
      <family val="0"/>
      <charset val="1"/>
    </font>
    <font>
      <b val="true"/>
      <sz val="11"/>
      <color rgb="FF1F4E78"/>
      <name val="Arial"/>
      <family val="0"/>
      <charset val="1"/>
    </font>
    <font>
      <i val="true"/>
      <sz val="10"/>
      <color rgb="FF7F6000"/>
      <name val="Arial"/>
      <family val="0"/>
      <charset val="1"/>
    </font>
    <font>
      <sz val="11"/>
      <color rgb="FF0000FF"/>
      <name val="Arial"/>
      <family val="0"/>
      <charset val="1"/>
    </font>
    <font>
      <sz val="9"/>
      <name val="Arial"/>
      <family val="0"/>
      <charset val="1"/>
    </font>
  </fonts>
  <fills count="10">
    <fill>
      <patternFill patternType="none"/>
    </fill>
    <fill>
      <patternFill patternType="gray125"/>
    </fill>
    <fill>
      <patternFill patternType="solid">
        <fgColor rgb="FFD9E1F2"/>
        <bgColor rgb="FFE2EFDA"/>
      </patternFill>
    </fill>
    <fill>
      <patternFill patternType="solid">
        <fgColor rgb="FF1F4E78"/>
        <bgColor rgb="FF003366"/>
      </patternFill>
    </fill>
    <fill>
      <patternFill patternType="solid">
        <fgColor rgb="FFFFF2CC"/>
        <bgColor rgb="FFFCE4D6"/>
      </patternFill>
    </fill>
    <fill>
      <patternFill patternType="solid">
        <fgColor rgb="FFFCE4D6"/>
        <bgColor rgb="FFFFF2CC"/>
      </patternFill>
    </fill>
    <fill>
      <patternFill patternType="solid">
        <fgColor rgb="FFE2EFDA"/>
        <bgColor rgb="FFD9E1F2"/>
      </patternFill>
    </fill>
    <fill>
      <patternFill patternType="solid">
        <fgColor rgb="FFF8CBAD"/>
        <bgColor rgb="FFFCE4D6"/>
      </patternFill>
    </fill>
    <fill>
      <patternFill patternType="solid">
        <fgColor rgb="FF375623"/>
        <bgColor rgb="FF333300"/>
      </patternFill>
    </fill>
    <fill>
      <patternFill patternType="solid">
        <fgColor rgb="FF7030A0"/>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5" fontId="6"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general" vertical="top" textRotation="0" wrapText="true" indent="0" shrinkToFit="false"/>
      <protection locked="true" hidden="false"/>
    </xf>
    <xf numFmtId="164" fontId="13" fillId="4"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5" fontId="15" fillId="6"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5" fontId="6" fillId="7" borderId="1" xfId="0" applyFont="true" applyBorder="true" applyAlignment="true" applyProtection="false">
      <alignment horizontal="center" vertical="top" textRotation="0" wrapText="false" indent="0" shrinkToFit="false"/>
      <protection locked="true" hidden="false"/>
    </xf>
    <xf numFmtId="165" fontId="6" fillId="5" borderId="1" xfId="0" applyFont="true" applyBorder="true" applyAlignment="true" applyProtection="false">
      <alignment horizontal="center" vertical="top" textRotation="0" wrapText="false" indent="0" shrinkToFit="false"/>
      <protection locked="true" hidden="false"/>
    </xf>
    <xf numFmtId="165" fontId="6" fillId="6"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8" borderId="0" xfId="0" applyFont="true" applyBorder="true" applyAlignment="true" applyProtection="false">
      <alignment horizontal="left" vertical="center" textRotation="0" wrapText="false" indent="1"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6" fillId="6" borderId="1" xfId="0" applyFont="true" applyBorder="tru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5" fontId="22"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8" fillId="3" borderId="0" xfId="0" applyFont="true" applyBorder="true" applyAlignment="true" applyProtection="false">
      <alignment horizontal="left" vertical="center" textRotation="0" wrapText="false" indent="1" shrinkToFit="false"/>
      <protection locked="true" hidden="false"/>
    </xf>
    <xf numFmtId="164" fontId="17" fillId="4" borderId="0"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8" fillId="9" borderId="0" xfId="0" applyFont="true" applyBorder="true" applyAlignment="true" applyProtection="false">
      <alignment horizontal="left" vertical="center" textRotation="0" wrapText="false" indent="1" shrinkToFit="false"/>
      <protection locked="true" hidden="false"/>
    </xf>
    <xf numFmtId="167" fontId="6" fillId="5" borderId="1" xfId="0" applyFont="true" applyBorder="true" applyAlignment="true" applyProtection="false">
      <alignment horizontal="center" vertical="top" textRotation="0" wrapText="false" indent="0" shrinkToFit="false"/>
      <protection locked="true" hidden="false"/>
    </xf>
    <xf numFmtId="167" fontId="6" fillId="4" borderId="1" xfId="0" applyFont="true" applyBorder="true" applyAlignment="true" applyProtection="false">
      <alignment horizontal="center" vertical="top" textRotation="0" wrapText="false" indent="0" shrinkToFit="false"/>
      <protection locked="true" hidden="false"/>
    </xf>
    <xf numFmtId="167" fontId="6" fillId="6" borderId="1" xfId="0" applyFont="true" applyBorder="true" applyAlignment="true" applyProtection="false">
      <alignment horizontal="center" vertical="top" textRotation="0" wrapText="false" indent="0" shrinkToFit="false"/>
      <protection locked="true" hidden="false"/>
    </xf>
    <xf numFmtId="164" fontId="6" fillId="4" borderId="0"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7" fontId="6" fillId="6"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7" fontId="15"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55"/>
    <col collapsed="false" customWidth="true" hidden="false" outlineLevel="0" max="4" min="4" style="1" width="40"/>
    <col collapsed="false" customWidth="true" hidden="false" outlineLevel="0" max="8" min="5" style="1" width="12"/>
  </cols>
  <sheetData>
    <row r="2" customFormat="false" ht="15" hidden="false" customHeight="true" outlineLevel="0" collapsed="false">
      <c r="B2" s="2" t="s">
        <v>0</v>
      </c>
      <c r="C2" s="2"/>
      <c r="D2" s="2"/>
      <c r="E2" s="2"/>
      <c r="F2" s="2"/>
      <c r="G2" s="2"/>
      <c r="H2" s="2"/>
    </row>
    <row r="3" customFormat="false" ht="15" hidden="false" customHeight="true" outlineLevel="0" collapsed="false">
      <c r="B3" s="2"/>
      <c r="C3" s="2"/>
      <c r="D3" s="2"/>
      <c r="E3" s="2"/>
      <c r="F3" s="2"/>
      <c r="G3" s="2"/>
      <c r="H3" s="2"/>
    </row>
    <row r="5" customFormat="false" ht="15" hidden="false" customHeight="true" outlineLevel="0" collapsed="false">
      <c r="B5" s="3" t="s">
        <v>1</v>
      </c>
      <c r="C5" s="4" t="s">
        <v>2</v>
      </c>
    </row>
    <row r="6" customFormat="false" ht="15" hidden="false" customHeight="true" outlineLevel="0" collapsed="false">
      <c r="B6" s="3" t="s">
        <v>3</v>
      </c>
      <c r="C6" s="4" t="s">
        <v>4</v>
      </c>
    </row>
    <row r="7" customFormat="false" ht="15" hidden="false" customHeight="true" outlineLevel="0" collapsed="false">
      <c r="B7" s="3" t="s">
        <v>5</v>
      </c>
      <c r="C7" s="4" t="s">
        <v>6</v>
      </c>
    </row>
    <row r="8" customFormat="false" ht="15" hidden="false" customHeight="true" outlineLevel="0" collapsed="false">
      <c r="B8" s="3" t="s">
        <v>7</v>
      </c>
      <c r="C8" s="4" t="s">
        <v>8</v>
      </c>
    </row>
    <row r="9" customFormat="false" ht="15" hidden="false" customHeight="true" outlineLevel="0" collapsed="false">
      <c r="B9" s="3" t="s">
        <v>9</v>
      </c>
      <c r="C9" s="4" t="s">
        <v>10</v>
      </c>
    </row>
    <row r="11" customFormat="false" ht="21.75" hidden="false" customHeight="true" outlineLevel="0" collapsed="false">
      <c r="A11" s="5" t="s">
        <v>11</v>
      </c>
      <c r="B11" s="5"/>
      <c r="C11" s="5"/>
      <c r="D11" s="5"/>
      <c r="E11" s="5"/>
      <c r="F11" s="5"/>
    </row>
    <row r="12" customFormat="false" ht="15" hidden="false" customHeight="true" outlineLevel="0" collapsed="false">
      <c r="B12" s="6" t="s">
        <v>12</v>
      </c>
      <c r="C12" s="6" t="s">
        <v>13</v>
      </c>
      <c r="D12" s="6" t="s">
        <v>14</v>
      </c>
    </row>
    <row r="13" customFormat="false" ht="15" hidden="false" customHeight="true" outlineLevel="0" collapsed="false">
      <c r="B13" s="7" t="s">
        <v>15</v>
      </c>
      <c r="C13" s="7" t="s">
        <v>16</v>
      </c>
      <c r="D13" s="7" t="s">
        <v>17</v>
      </c>
    </row>
    <row r="14" customFormat="false" ht="15" hidden="false" customHeight="true" outlineLevel="0" collapsed="false">
      <c r="B14" s="7" t="s">
        <v>18</v>
      </c>
      <c r="C14" s="7" t="s">
        <v>19</v>
      </c>
      <c r="D14" s="7" t="s">
        <v>17</v>
      </c>
    </row>
    <row r="15" customFormat="false" ht="15" hidden="false" customHeight="true" outlineLevel="0" collapsed="false">
      <c r="B15" s="7" t="s">
        <v>20</v>
      </c>
      <c r="C15" s="7" t="s">
        <v>21</v>
      </c>
      <c r="D15" s="7" t="s">
        <v>17</v>
      </c>
    </row>
    <row r="16" customFormat="false" ht="15" hidden="false" customHeight="true" outlineLevel="0" collapsed="false">
      <c r="B16" s="7" t="s">
        <v>22</v>
      </c>
      <c r="C16" s="7" t="s">
        <v>23</v>
      </c>
      <c r="D16" s="7" t="s">
        <v>17</v>
      </c>
    </row>
    <row r="17" customFormat="false" ht="23.25" hidden="false" customHeight="true" outlineLevel="0" collapsed="false">
      <c r="B17" s="7" t="s">
        <v>24</v>
      </c>
      <c r="C17" s="7" t="s">
        <v>25</v>
      </c>
      <c r="D17" s="8" t="s">
        <v>26</v>
      </c>
    </row>
    <row r="18" customFormat="false" ht="15" hidden="false" customHeight="true" outlineLevel="0" collapsed="false">
      <c r="B18" s="7" t="s">
        <v>27</v>
      </c>
      <c r="C18" s="7" t="s">
        <v>28</v>
      </c>
      <c r="D18" s="7" t="s">
        <v>17</v>
      </c>
    </row>
    <row r="19" customFormat="false" ht="15" hidden="false" customHeight="true" outlineLevel="0" collapsed="false">
      <c r="B19" s="7" t="s">
        <v>29</v>
      </c>
      <c r="C19" s="7" t="s">
        <v>30</v>
      </c>
      <c r="D19" s="7" t="s">
        <v>17</v>
      </c>
    </row>
    <row r="20" customFormat="false" ht="15" hidden="false" customHeight="true" outlineLevel="0" collapsed="false">
      <c r="B20" s="7" t="s">
        <v>31</v>
      </c>
      <c r="C20" s="7" t="s">
        <v>32</v>
      </c>
      <c r="D20" s="7" t="s">
        <v>17</v>
      </c>
    </row>
    <row r="21" customFormat="false" ht="23.25" hidden="false" customHeight="true" outlineLevel="0" collapsed="false">
      <c r="B21" s="7" t="s">
        <v>33</v>
      </c>
      <c r="C21" s="7" t="s">
        <v>34</v>
      </c>
      <c r="D21" s="8" t="s">
        <v>35</v>
      </c>
    </row>
    <row r="23" customFormat="false" ht="15" hidden="false" customHeight="true" outlineLevel="0" collapsed="false">
      <c r="B23" s="9" t="s">
        <v>36</v>
      </c>
      <c r="C23" s="9"/>
      <c r="D23" s="9"/>
      <c r="E23" s="9"/>
      <c r="F23" s="9"/>
      <c r="G23" s="9"/>
    </row>
    <row r="24" customFormat="false" ht="15" hidden="false" customHeight="true" outlineLevel="0" collapsed="false">
      <c r="B24" s="9"/>
      <c r="C24" s="9"/>
      <c r="D24" s="9"/>
      <c r="E24" s="9"/>
      <c r="F24" s="9"/>
      <c r="G24" s="9"/>
    </row>
    <row r="25" customFormat="false" ht="15" hidden="false" customHeight="true" outlineLevel="0" collapsed="false">
      <c r="B25" s="9"/>
      <c r="C25" s="9"/>
      <c r="D25" s="9"/>
      <c r="E25" s="9"/>
      <c r="F25" s="9"/>
      <c r="G25" s="9"/>
    </row>
  </sheetData>
  <mergeCells count="3">
    <mergeCell ref="B2:H3"/>
    <mergeCell ref="A11:F11"/>
    <mergeCell ref="B23: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14"/>
    <col collapsed="false" customWidth="true" hidden="false" outlineLevel="0" max="4" min="4" style="1" width="18"/>
    <col collapsed="false" customWidth="true" hidden="false" outlineLevel="0" max="5" min="5" style="1" width="16"/>
    <col collapsed="false" customWidth="true" hidden="false" outlineLevel="0" max="6" min="6" style="1" width="40"/>
  </cols>
  <sheetData>
    <row r="2" customFormat="false" ht="21.75" hidden="false" customHeight="true" outlineLevel="0" collapsed="false">
      <c r="A2" s="5" t="s">
        <v>37</v>
      </c>
      <c r="B2" s="5"/>
      <c r="C2" s="5"/>
      <c r="D2" s="5"/>
      <c r="E2" s="5"/>
    </row>
    <row r="4" customFormat="false" ht="15" hidden="false" customHeight="true" outlineLevel="0" collapsed="false">
      <c r="B4" s="10" t="s">
        <v>38</v>
      </c>
      <c r="C4" s="1" t="s">
        <v>39</v>
      </c>
    </row>
    <row r="5" customFormat="false" ht="23.25" hidden="false" customHeight="true" outlineLevel="0" collapsed="false">
      <c r="B5" s="10" t="s">
        <v>40</v>
      </c>
      <c r="C5" s="11" t="n">
        <v>328347</v>
      </c>
    </row>
    <row r="6" customFormat="false" ht="45" hidden="false" customHeight="true" outlineLevel="0" collapsed="false">
      <c r="B6" s="10" t="s">
        <v>41</v>
      </c>
      <c r="C6" s="12" t="s">
        <v>42</v>
      </c>
      <c r="D6" s="12"/>
      <c r="E6" s="12"/>
      <c r="F6" s="12"/>
    </row>
    <row r="8" customFormat="false" ht="21.75" hidden="false" customHeight="true" outlineLevel="0" collapsed="false">
      <c r="A8" s="5" t="s">
        <v>43</v>
      </c>
      <c r="B8" s="5"/>
      <c r="C8" s="5"/>
      <c r="D8" s="5"/>
      <c r="E8" s="5"/>
    </row>
    <row r="9" customFormat="false" ht="15" hidden="false" customHeight="true" outlineLevel="0" collapsed="false">
      <c r="B9" s="13" t="s">
        <v>44</v>
      </c>
      <c r="C9" s="14" t="s">
        <v>45</v>
      </c>
      <c r="D9" s="14" t="s">
        <v>46</v>
      </c>
      <c r="E9" s="14" t="s">
        <v>47</v>
      </c>
    </row>
    <row r="10" customFormat="false" ht="15" hidden="false" customHeight="true" outlineLevel="0" collapsed="false">
      <c r="B10" s="15" t="s">
        <v>48</v>
      </c>
      <c r="C10" s="16" t="n">
        <v>0.05</v>
      </c>
      <c r="D10" s="17" t="s">
        <v>49</v>
      </c>
      <c r="E10" s="18" t="n">
        <f aca="false">C5*C10</f>
        <v>16417.35</v>
      </c>
    </row>
    <row r="11" customFormat="false" ht="15" hidden="false" customHeight="true" outlineLevel="0" collapsed="false">
      <c r="B11" s="15" t="s">
        <v>50</v>
      </c>
      <c r="C11" s="16" t="n">
        <v>0.75</v>
      </c>
      <c r="D11" s="17" t="s">
        <v>49</v>
      </c>
      <c r="E11" s="18" t="n">
        <f aca="false">E10*C11</f>
        <v>12313.0125</v>
      </c>
    </row>
    <row r="12" customFormat="false" ht="15" hidden="false" customHeight="true" outlineLevel="0" collapsed="false">
      <c r="B12" s="15" t="s">
        <v>51</v>
      </c>
      <c r="C12" s="16" t="n">
        <v>0.05</v>
      </c>
      <c r="D12" s="17" t="s">
        <v>49</v>
      </c>
      <c r="E12" s="18" t="n">
        <f aca="false">E10*C12</f>
        <v>820.8675</v>
      </c>
    </row>
    <row r="14" customFormat="false" ht="21.75" hidden="false" customHeight="true" outlineLevel="0" collapsed="false">
      <c r="A14" s="5" t="s">
        <v>52</v>
      </c>
      <c r="B14" s="5"/>
      <c r="C14" s="5"/>
      <c r="D14" s="5"/>
      <c r="E14" s="5"/>
    </row>
    <row r="16" customFormat="false" ht="15" hidden="false" customHeight="true" outlineLevel="0" collapsed="false">
      <c r="B16" s="3" t="s">
        <v>53</v>
      </c>
      <c r="C16" s="19" t="n">
        <f aca="false">684400-20000</f>
        <v>664400</v>
      </c>
    </row>
    <row r="17" customFormat="false" ht="15" hidden="false" customHeight="true" outlineLevel="0" collapsed="false">
      <c r="B17" s="3" t="s">
        <v>54</v>
      </c>
      <c r="C17" s="19" t="n">
        <f aca="false">C16*0.01</f>
        <v>6644</v>
      </c>
    </row>
    <row r="18" customFormat="false" ht="45" hidden="false" customHeight="true" outlineLevel="0" collapsed="false">
      <c r="B18" s="3" t="s">
        <v>55</v>
      </c>
      <c r="C18" s="20" t="s">
        <v>56</v>
      </c>
      <c r="D18" s="20"/>
      <c r="E18" s="20"/>
      <c r="F18" s="20"/>
    </row>
    <row r="20" customFormat="false" ht="21.75" hidden="false" customHeight="true" outlineLevel="0" collapsed="false">
      <c r="A20" s="5" t="s">
        <v>57</v>
      </c>
      <c r="B20" s="5"/>
      <c r="C20" s="5"/>
      <c r="D20" s="5"/>
      <c r="E20" s="5"/>
    </row>
    <row r="22" customFormat="false" ht="15" hidden="false" customHeight="true" outlineLevel="0" collapsed="false">
      <c r="B22" s="12" t="s">
        <v>58</v>
      </c>
      <c r="C22" s="12"/>
      <c r="D22" s="12"/>
      <c r="E22" s="12"/>
      <c r="F22" s="12"/>
    </row>
    <row r="23" customFormat="false" ht="15" hidden="false" customHeight="true" outlineLevel="0" collapsed="false">
      <c r="B23" s="12"/>
      <c r="C23" s="12"/>
      <c r="D23" s="12"/>
      <c r="E23" s="12"/>
      <c r="F23" s="12"/>
    </row>
    <row r="24" customFormat="false" ht="15" hidden="false" customHeight="true" outlineLevel="0" collapsed="false">
      <c r="B24" s="12"/>
      <c r="C24" s="12"/>
      <c r="D24" s="12"/>
      <c r="E24" s="12"/>
      <c r="F24" s="12"/>
    </row>
    <row r="25" customFormat="false" ht="15" hidden="false" customHeight="true" outlineLevel="0" collapsed="false">
      <c r="B25" s="12"/>
      <c r="C25" s="12"/>
      <c r="D25" s="12"/>
      <c r="E25" s="12"/>
      <c r="F25" s="12"/>
    </row>
    <row r="26" customFormat="false" ht="15" hidden="false" customHeight="true" outlineLevel="0" collapsed="false">
      <c r="B26" s="12"/>
      <c r="C26" s="12"/>
      <c r="D26" s="12"/>
      <c r="E26" s="12"/>
      <c r="F26" s="12"/>
    </row>
    <row r="27" customFormat="false" ht="15" hidden="false" customHeight="true" outlineLevel="0" collapsed="false">
      <c r="B27" s="12"/>
      <c r="C27" s="12"/>
      <c r="D27" s="12"/>
      <c r="E27" s="12"/>
      <c r="F27" s="12"/>
    </row>
  </sheetData>
  <mergeCells count="7">
    <mergeCell ref="A2:E2"/>
    <mergeCell ref="C6:F6"/>
    <mergeCell ref="A8:E8"/>
    <mergeCell ref="A14:E14"/>
    <mergeCell ref="C18:F18"/>
    <mergeCell ref="A20:E20"/>
    <mergeCell ref="B22: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0"/>
    <col collapsed="false" customWidth="true" hidden="false" outlineLevel="0" max="5" min="4" style="1" width="12"/>
    <col collapsed="false" customWidth="true" hidden="false" outlineLevel="0" max="6" min="6" style="1" width="16"/>
    <col collapsed="false" customWidth="true" hidden="false" outlineLevel="0" max="7" min="7" style="1" width="10"/>
    <col collapsed="false" customWidth="true" hidden="false" outlineLevel="0" max="8" min="8" style="1" width="30"/>
    <col collapsed="false" customWidth="true" hidden="false" outlineLevel="0" max="9" min="9" style="1" width="12"/>
    <col collapsed="false" customWidth="true" hidden="false" outlineLevel="0" max="10" min="10" style="1" width="45"/>
  </cols>
  <sheetData>
    <row r="2" customFormat="false" ht="21.75" hidden="false" customHeight="true" outlineLevel="0" collapsed="false">
      <c r="A2" s="5" t="s">
        <v>59</v>
      </c>
      <c r="B2" s="5"/>
      <c r="C2" s="5"/>
      <c r="D2" s="5"/>
      <c r="E2" s="5"/>
      <c r="F2" s="5"/>
      <c r="G2" s="5"/>
      <c r="H2" s="5"/>
      <c r="I2" s="5"/>
    </row>
    <row r="4" customFormat="false" ht="15" hidden="false" customHeight="true" outlineLevel="0" collapsed="false">
      <c r="B4" s="3" t="s">
        <v>60</v>
      </c>
      <c r="C4" s="20" t="s">
        <v>61</v>
      </c>
      <c r="D4" s="20"/>
      <c r="E4" s="20"/>
      <c r="F4" s="20"/>
      <c r="G4" s="20"/>
      <c r="H4" s="20"/>
      <c r="I4" s="20"/>
    </row>
    <row r="5" customFormat="false" ht="23.25" hidden="false" customHeight="true" outlineLevel="0" collapsed="false">
      <c r="B5" s="3" t="s">
        <v>62</v>
      </c>
      <c r="C5" s="20" t="s">
        <v>63</v>
      </c>
      <c r="D5" s="20"/>
      <c r="E5" s="20"/>
      <c r="F5" s="20"/>
      <c r="G5" s="20"/>
      <c r="H5" s="20"/>
      <c r="I5" s="20"/>
    </row>
    <row r="6" customFormat="false" ht="15" hidden="false" customHeight="true" outlineLevel="0" collapsed="false">
      <c r="B6" s="3" t="s">
        <v>64</v>
      </c>
      <c r="C6" s="20" t="s">
        <v>65</v>
      </c>
      <c r="D6" s="20"/>
      <c r="E6" s="20"/>
      <c r="F6" s="20"/>
      <c r="G6" s="20"/>
      <c r="H6" s="20"/>
      <c r="I6" s="20"/>
    </row>
    <row r="8" customFormat="false" ht="21.75" hidden="false" customHeight="true" outlineLevel="0" collapsed="false">
      <c r="A8" s="5" t="s">
        <v>66</v>
      </c>
      <c r="B8" s="5"/>
      <c r="C8" s="5"/>
      <c r="D8" s="5"/>
      <c r="E8" s="5"/>
      <c r="F8" s="5"/>
      <c r="G8" s="5"/>
      <c r="H8" s="5"/>
      <c r="I8" s="5"/>
    </row>
    <row r="9" customFormat="false" ht="15" hidden="false" customHeight="true" outlineLevel="0" collapsed="false">
      <c r="B9" s="21" t="s">
        <v>67</v>
      </c>
      <c r="C9" s="21" t="s">
        <v>68</v>
      </c>
      <c r="D9" s="21" t="s">
        <v>69</v>
      </c>
      <c r="E9" s="21" t="s">
        <v>70</v>
      </c>
      <c r="F9" s="21" t="s">
        <v>71</v>
      </c>
      <c r="G9" s="21" t="s">
        <v>72</v>
      </c>
      <c r="H9" s="21" t="s">
        <v>73</v>
      </c>
      <c r="I9" s="21" t="s">
        <v>74</v>
      </c>
      <c r="J9" s="21" t="s">
        <v>75</v>
      </c>
    </row>
    <row r="10" customFormat="false" ht="54.75" hidden="false" customHeight="true" outlineLevel="0" collapsed="false">
      <c r="B10" s="22" t="s">
        <v>76</v>
      </c>
      <c r="C10" s="22" t="s">
        <v>77</v>
      </c>
      <c r="D10" s="22" t="s">
        <v>78</v>
      </c>
      <c r="E10" s="23" t="n">
        <v>14760</v>
      </c>
      <c r="F10" s="22" t="s">
        <v>79</v>
      </c>
      <c r="G10" s="23" t="n">
        <v>2760</v>
      </c>
      <c r="H10" s="22" t="s">
        <v>80</v>
      </c>
      <c r="I10" s="22" t="s">
        <v>81</v>
      </c>
      <c r="J10" s="22" t="s">
        <v>82</v>
      </c>
    </row>
    <row r="11" customFormat="false" ht="54.75" hidden="false" customHeight="true" outlineLevel="0" collapsed="false">
      <c r="B11" s="22" t="s">
        <v>83</v>
      </c>
      <c r="C11" s="22" t="s">
        <v>84</v>
      </c>
      <c r="D11" s="22" t="s">
        <v>85</v>
      </c>
      <c r="E11" s="23" t="n">
        <v>26000</v>
      </c>
      <c r="F11" s="22" t="s">
        <v>86</v>
      </c>
      <c r="G11" s="23" t="n">
        <v>0</v>
      </c>
      <c r="H11" s="22" t="s">
        <v>87</v>
      </c>
      <c r="I11" s="22" t="s">
        <v>81</v>
      </c>
      <c r="J11" s="22" t="s">
        <v>88</v>
      </c>
    </row>
    <row r="12" customFormat="false" ht="54.75" hidden="false" customHeight="true" outlineLevel="0" collapsed="false">
      <c r="B12" s="24" t="s">
        <v>89</v>
      </c>
      <c r="C12" s="24" t="s">
        <v>90</v>
      </c>
      <c r="D12" s="24" t="s">
        <v>91</v>
      </c>
      <c r="E12" s="25" t="n">
        <v>27552</v>
      </c>
      <c r="F12" s="24" t="s">
        <v>92</v>
      </c>
      <c r="G12" s="25" t="n">
        <v>5152</v>
      </c>
      <c r="H12" s="24" t="s">
        <v>93</v>
      </c>
      <c r="I12" s="24" t="s">
        <v>94</v>
      </c>
      <c r="J12" s="24" t="s">
        <v>95</v>
      </c>
    </row>
    <row r="13" customFormat="false" ht="54.75" hidden="false" customHeight="true" outlineLevel="0" collapsed="false">
      <c r="B13" s="24" t="s">
        <v>96</v>
      </c>
      <c r="C13" s="24" t="s">
        <v>97</v>
      </c>
      <c r="D13" s="24" t="s">
        <v>98</v>
      </c>
      <c r="E13" s="25" t="n">
        <v>39360</v>
      </c>
      <c r="F13" s="24" t="s">
        <v>92</v>
      </c>
      <c r="G13" s="25" t="n">
        <v>7360</v>
      </c>
      <c r="H13" s="24" t="s">
        <v>99</v>
      </c>
      <c r="I13" s="24" t="s">
        <v>100</v>
      </c>
      <c r="J13" s="24" t="s">
        <v>101</v>
      </c>
    </row>
    <row r="14" customFormat="false" ht="54.75" hidden="false" customHeight="true" outlineLevel="0" collapsed="false">
      <c r="B14" s="22" t="s">
        <v>102</v>
      </c>
      <c r="C14" s="22" t="s">
        <v>103</v>
      </c>
      <c r="D14" s="22" t="s">
        <v>104</v>
      </c>
      <c r="E14" s="23" t="n">
        <v>22755</v>
      </c>
      <c r="F14" s="22" t="s">
        <v>92</v>
      </c>
      <c r="G14" s="23" t="n">
        <v>4255</v>
      </c>
      <c r="H14" s="22" t="s">
        <v>105</v>
      </c>
      <c r="I14" s="22" t="s">
        <v>81</v>
      </c>
      <c r="J14" s="22" t="s">
        <v>106</v>
      </c>
    </row>
    <row r="15" customFormat="false" ht="54.75" hidden="false" customHeight="true" outlineLevel="0" collapsed="false">
      <c r="B15" s="24" t="s">
        <v>107</v>
      </c>
      <c r="C15" s="24" t="s">
        <v>108</v>
      </c>
      <c r="D15" s="24" t="s">
        <v>109</v>
      </c>
      <c r="E15" s="25" t="n">
        <v>47355</v>
      </c>
      <c r="F15" s="24" t="s">
        <v>92</v>
      </c>
      <c r="G15" s="25" t="n">
        <v>8855</v>
      </c>
      <c r="H15" s="24" t="s">
        <v>110</v>
      </c>
      <c r="I15" s="24" t="s">
        <v>111</v>
      </c>
      <c r="J15" s="24" t="s">
        <v>112</v>
      </c>
    </row>
    <row r="17" customFormat="false" ht="21.75" hidden="false" customHeight="true" outlineLevel="0" collapsed="false">
      <c r="A17" s="5" t="s">
        <v>113</v>
      </c>
      <c r="B17" s="5"/>
      <c r="C17" s="5"/>
      <c r="D17" s="5"/>
      <c r="E17" s="5"/>
      <c r="F17" s="5"/>
      <c r="G17" s="5"/>
      <c r="H17" s="5"/>
      <c r="I17" s="5"/>
    </row>
    <row r="18" customFormat="false" ht="15" hidden="false" customHeight="true" outlineLevel="0" collapsed="false">
      <c r="B18" s="12" t="s">
        <v>114</v>
      </c>
      <c r="C18" s="12"/>
      <c r="D18" s="12"/>
      <c r="E18" s="12"/>
      <c r="F18" s="12"/>
      <c r="G18" s="12"/>
      <c r="H18" s="12"/>
      <c r="I18" s="12"/>
    </row>
    <row r="19" customFormat="false" ht="15" hidden="false" customHeight="true" outlineLevel="0" collapsed="false">
      <c r="B19" s="12"/>
      <c r="C19" s="12"/>
      <c r="D19" s="12"/>
      <c r="E19" s="12"/>
      <c r="F19" s="12"/>
      <c r="G19" s="12"/>
      <c r="H19" s="12"/>
      <c r="I19" s="12"/>
    </row>
    <row r="20" customFormat="false" ht="15" hidden="false" customHeight="true" outlineLevel="0" collapsed="false">
      <c r="B20" s="12"/>
      <c r="C20" s="12"/>
      <c r="D20" s="12"/>
      <c r="E20" s="12"/>
      <c r="F20" s="12"/>
      <c r="G20" s="12"/>
      <c r="H20" s="12"/>
      <c r="I20" s="12"/>
    </row>
    <row r="22" customFormat="false" ht="21.75" hidden="false" customHeight="true" outlineLevel="0" collapsed="false">
      <c r="A22" s="5" t="s">
        <v>115</v>
      </c>
      <c r="B22" s="5"/>
      <c r="C22" s="5"/>
      <c r="D22" s="5"/>
      <c r="E22" s="5"/>
      <c r="F22" s="5"/>
      <c r="G22" s="5"/>
      <c r="H22" s="5"/>
      <c r="I22" s="5"/>
    </row>
    <row r="23" customFormat="false" ht="15" hidden="false" customHeight="true" outlineLevel="0" collapsed="false">
      <c r="B23" s="12" t="s">
        <v>116</v>
      </c>
      <c r="C23" s="12"/>
      <c r="D23" s="12"/>
      <c r="E23" s="12"/>
      <c r="F23" s="12"/>
      <c r="G23" s="12"/>
      <c r="H23" s="12"/>
      <c r="I23" s="12"/>
    </row>
    <row r="24" customFormat="false" ht="15" hidden="false" customHeight="true" outlineLevel="0" collapsed="false">
      <c r="B24" s="12"/>
      <c r="C24" s="12"/>
      <c r="D24" s="12"/>
      <c r="E24" s="12"/>
      <c r="F24" s="12"/>
      <c r="G24" s="12"/>
      <c r="H24" s="12"/>
      <c r="I24" s="12"/>
    </row>
    <row r="25" customFormat="false" ht="15" hidden="false" customHeight="true" outlineLevel="0" collapsed="false">
      <c r="B25" s="12"/>
      <c r="C25" s="12"/>
      <c r="D25" s="12"/>
      <c r="E25" s="12"/>
      <c r="F25" s="12"/>
      <c r="G25" s="12"/>
      <c r="H25" s="12"/>
      <c r="I25" s="12"/>
    </row>
    <row r="26" customFormat="false" ht="15" hidden="false" customHeight="true" outlineLevel="0" collapsed="false">
      <c r="B26" s="12"/>
      <c r="C26" s="12"/>
      <c r="D26" s="12"/>
      <c r="E26" s="12"/>
      <c r="F26" s="12"/>
      <c r="G26" s="12"/>
      <c r="H26" s="12"/>
      <c r="I26" s="12"/>
    </row>
  </sheetData>
  <mergeCells count="9">
    <mergeCell ref="A2:I2"/>
    <mergeCell ref="C4:I4"/>
    <mergeCell ref="C5:I5"/>
    <mergeCell ref="C6:I6"/>
    <mergeCell ref="A8:I8"/>
    <mergeCell ref="A17:I17"/>
    <mergeCell ref="B18:I20"/>
    <mergeCell ref="A22:I22"/>
    <mergeCell ref="B23: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42"/>
    <col collapsed="false" customWidth="true" hidden="false" outlineLevel="0" max="4" min="4" style="1" width="12"/>
    <col collapsed="false" customWidth="true" hidden="false" outlineLevel="0" max="6" min="5" style="1" width="45"/>
    <col collapsed="false" customWidth="true" hidden="false" outlineLevel="0" max="7" min="7" style="1" width="22"/>
  </cols>
  <sheetData>
    <row r="2" customFormat="false" ht="21.75" hidden="false" customHeight="true" outlineLevel="0" collapsed="false">
      <c r="A2" s="5" t="s">
        <v>117</v>
      </c>
      <c r="B2" s="5"/>
      <c r="C2" s="5"/>
      <c r="D2" s="5"/>
      <c r="E2" s="5"/>
      <c r="F2" s="5"/>
      <c r="G2" s="5"/>
    </row>
    <row r="4" customFormat="false" ht="15" hidden="false" customHeight="true" outlineLevel="0" collapsed="false">
      <c r="B4" s="3" t="s">
        <v>118</v>
      </c>
      <c r="C4" s="20" t="s">
        <v>119</v>
      </c>
      <c r="D4" s="20"/>
      <c r="E4" s="20"/>
      <c r="F4" s="20"/>
      <c r="G4" s="20"/>
    </row>
    <row r="5" customFormat="false" ht="15" hidden="false" customHeight="true" outlineLevel="0" collapsed="false">
      <c r="B5" s="3" t="s">
        <v>120</v>
      </c>
      <c r="C5" s="20" t="s">
        <v>121</v>
      </c>
      <c r="D5" s="20"/>
      <c r="E5" s="20"/>
      <c r="F5" s="20"/>
      <c r="G5" s="20"/>
    </row>
    <row r="7" customFormat="false" ht="21.75" hidden="false" customHeight="true" outlineLevel="0" collapsed="false">
      <c r="A7" s="5" t="s">
        <v>122</v>
      </c>
      <c r="B7" s="5"/>
      <c r="C7" s="5"/>
      <c r="D7" s="5"/>
      <c r="E7" s="5"/>
      <c r="F7" s="5"/>
      <c r="G7" s="5"/>
    </row>
    <row r="8" customFormat="false" ht="15" hidden="false" customHeight="true" outlineLevel="0" collapsed="false">
      <c r="B8" s="21" t="s">
        <v>69</v>
      </c>
      <c r="C8" s="21" t="s">
        <v>123</v>
      </c>
      <c r="D8" s="21" t="s">
        <v>70</v>
      </c>
      <c r="E8" s="21" t="s">
        <v>124</v>
      </c>
      <c r="F8" s="21" t="s">
        <v>125</v>
      </c>
      <c r="G8" s="21" t="s">
        <v>74</v>
      </c>
    </row>
    <row r="9" customFormat="false" ht="69.75" hidden="false" customHeight="true" outlineLevel="0" collapsed="false">
      <c r="B9" s="22" t="s">
        <v>126</v>
      </c>
      <c r="C9" s="22" t="s">
        <v>127</v>
      </c>
      <c r="D9" s="23" t="n">
        <v>12054</v>
      </c>
      <c r="E9" s="22" t="s">
        <v>128</v>
      </c>
      <c r="F9" s="22" t="s">
        <v>129</v>
      </c>
      <c r="G9" s="22" t="s">
        <v>130</v>
      </c>
    </row>
    <row r="10" customFormat="false" ht="69.75" hidden="false" customHeight="true" outlineLevel="0" collapsed="false">
      <c r="B10" s="24" t="s">
        <v>131</v>
      </c>
      <c r="C10" s="24" t="s">
        <v>132</v>
      </c>
      <c r="D10" s="25" t="n">
        <v>10000</v>
      </c>
      <c r="E10" s="24" t="s">
        <v>133</v>
      </c>
      <c r="F10" s="24" t="s">
        <v>134</v>
      </c>
      <c r="G10" s="24" t="s">
        <v>135</v>
      </c>
    </row>
    <row r="12" customFormat="false" ht="21.75" hidden="false" customHeight="true" outlineLevel="0" collapsed="false">
      <c r="A12" s="5" t="s">
        <v>136</v>
      </c>
      <c r="B12" s="5"/>
      <c r="C12" s="5"/>
      <c r="D12" s="5"/>
      <c r="E12" s="5"/>
      <c r="F12" s="5"/>
      <c r="G12" s="5"/>
    </row>
    <row r="13" customFormat="false" ht="15" hidden="false" customHeight="true" outlineLevel="0" collapsed="false">
      <c r="B13" s="12" t="s">
        <v>137</v>
      </c>
      <c r="C13" s="12"/>
      <c r="D13" s="12"/>
      <c r="E13" s="12"/>
      <c r="F13" s="12"/>
      <c r="G13" s="12"/>
    </row>
    <row r="14" customFormat="false" ht="15" hidden="false" customHeight="true" outlineLevel="0" collapsed="false">
      <c r="B14" s="12"/>
      <c r="C14" s="12"/>
      <c r="D14" s="12"/>
      <c r="E14" s="12"/>
      <c r="F14" s="12"/>
      <c r="G14" s="12"/>
    </row>
    <row r="15" customFormat="false" ht="15" hidden="false" customHeight="true" outlineLevel="0" collapsed="false">
      <c r="B15" s="12"/>
      <c r="C15" s="12"/>
      <c r="D15" s="12"/>
      <c r="E15" s="12"/>
      <c r="F15" s="12"/>
      <c r="G15" s="12"/>
    </row>
    <row r="17" customFormat="false" ht="21.75" hidden="false" customHeight="true" outlineLevel="0" collapsed="false">
      <c r="A17" s="5" t="s">
        <v>115</v>
      </c>
      <c r="B17" s="5"/>
      <c r="C17" s="5"/>
      <c r="D17" s="5"/>
      <c r="E17" s="5"/>
      <c r="F17" s="5"/>
      <c r="G17" s="5"/>
    </row>
    <row r="18" customFormat="false" ht="15" hidden="false" customHeight="true" outlineLevel="0" collapsed="false">
      <c r="B18" s="12" t="s">
        <v>138</v>
      </c>
      <c r="C18" s="12"/>
      <c r="D18" s="12"/>
      <c r="E18" s="12"/>
      <c r="F18" s="12"/>
      <c r="G18" s="12"/>
    </row>
    <row r="19" customFormat="false" ht="15" hidden="false" customHeight="true" outlineLevel="0" collapsed="false">
      <c r="B19" s="12"/>
      <c r="C19" s="12"/>
      <c r="D19" s="12"/>
      <c r="E19" s="12"/>
      <c r="F19" s="12"/>
      <c r="G19" s="12"/>
    </row>
    <row r="20" customFormat="false" ht="15" hidden="false" customHeight="true" outlineLevel="0" collapsed="false">
      <c r="B20" s="12"/>
      <c r="C20" s="12"/>
      <c r="D20" s="12"/>
      <c r="E20" s="12"/>
      <c r="F20" s="12"/>
      <c r="G20" s="12"/>
    </row>
  </sheetData>
  <mergeCells count="8">
    <mergeCell ref="A2:G2"/>
    <mergeCell ref="C4:G4"/>
    <mergeCell ref="C5:G5"/>
    <mergeCell ref="A7:G7"/>
    <mergeCell ref="A12:G12"/>
    <mergeCell ref="B13:G15"/>
    <mergeCell ref="A17:G17"/>
    <mergeCell ref="B18: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4" min="3" style="1" width="12"/>
    <col collapsed="false" customWidth="true" hidden="false" outlineLevel="0" max="5" min="5" style="1" width="30"/>
    <col collapsed="false" customWidth="true" hidden="false" outlineLevel="0" max="7" min="6" style="1" width="45"/>
  </cols>
  <sheetData>
    <row r="2" customFormat="false" ht="21.75" hidden="false" customHeight="true" outlineLevel="0" collapsed="false">
      <c r="A2" s="5" t="s">
        <v>139</v>
      </c>
      <c r="B2" s="5"/>
      <c r="C2" s="5"/>
      <c r="D2" s="5"/>
      <c r="E2" s="5"/>
      <c r="F2" s="5"/>
      <c r="G2" s="5"/>
      <c r="H2" s="5"/>
    </row>
    <row r="4" customFormat="false" ht="15" hidden="false" customHeight="true" outlineLevel="0" collapsed="false">
      <c r="B4" s="3" t="s">
        <v>60</v>
      </c>
      <c r="C4" s="26" t="s">
        <v>140</v>
      </c>
      <c r="D4" s="26"/>
      <c r="E4" s="26"/>
      <c r="F4" s="26"/>
      <c r="G4" s="26"/>
      <c r="H4" s="26"/>
    </row>
    <row r="5" customFormat="false" ht="15" hidden="false" customHeight="true" outlineLevel="0" collapsed="false">
      <c r="B5" s="3" t="s">
        <v>141</v>
      </c>
      <c r="C5" s="26" t="s">
        <v>142</v>
      </c>
      <c r="D5" s="26"/>
      <c r="E5" s="26"/>
      <c r="F5" s="26"/>
      <c r="G5" s="26"/>
      <c r="H5" s="26"/>
    </row>
    <row r="7" customFormat="false" ht="21.75" hidden="false" customHeight="true" outlineLevel="0" collapsed="false">
      <c r="A7" s="5" t="s">
        <v>143</v>
      </c>
      <c r="B7" s="5"/>
      <c r="C7" s="5"/>
      <c r="D7" s="5"/>
      <c r="E7" s="5"/>
      <c r="F7" s="5"/>
      <c r="G7" s="5"/>
      <c r="H7" s="5"/>
    </row>
    <row r="8" customFormat="false" ht="15" hidden="false" customHeight="true" outlineLevel="0" collapsed="false">
      <c r="B8" s="21" t="s">
        <v>144</v>
      </c>
      <c r="C8" s="21" t="s">
        <v>69</v>
      </c>
      <c r="D8" s="21" t="s">
        <v>70</v>
      </c>
      <c r="E8" s="21" t="s">
        <v>145</v>
      </c>
      <c r="F8" s="21" t="s">
        <v>146</v>
      </c>
      <c r="G8" s="21" t="s">
        <v>147</v>
      </c>
    </row>
    <row r="9" customFormat="false" ht="75" hidden="false" customHeight="true" outlineLevel="0" collapsed="false">
      <c r="B9" s="22" t="s">
        <v>148</v>
      </c>
      <c r="C9" s="22" t="s">
        <v>149</v>
      </c>
      <c r="D9" s="23" t="n">
        <v>27798</v>
      </c>
      <c r="E9" s="22" t="s">
        <v>150</v>
      </c>
      <c r="F9" s="22" t="s">
        <v>151</v>
      </c>
      <c r="G9" s="22" t="s">
        <v>152</v>
      </c>
    </row>
    <row r="10" customFormat="false" ht="75" hidden="false" customHeight="true" outlineLevel="0" collapsed="false">
      <c r="B10" s="22" t="s">
        <v>153</v>
      </c>
      <c r="C10" s="22" t="s">
        <v>154</v>
      </c>
      <c r="D10" s="23" t="n">
        <v>2214</v>
      </c>
      <c r="E10" s="22" t="s">
        <v>155</v>
      </c>
      <c r="F10" s="22" t="s">
        <v>156</v>
      </c>
      <c r="G10" s="22" t="s">
        <v>157</v>
      </c>
    </row>
    <row r="12" customFormat="false" ht="21.75" hidden="false" customHeight="true" outlineLevel="0" collapsed="false">
      <c r="A12" s="5" t="s">
        <v>158</v>
      </c>
      <c r="B12" s="5"/>
      <c r="C12" s="5"/>
      <c r="D12" s="5"/>
      <c r="E12" s="5"/>
      <c r="F12" s="5"/>
      <c r="G12" s="5"/>
      <c r="H12" s="5"/>
    </row>
    <row r="13" customFormat="false" ht="15" hidden="false" customHeight="true" outlineLevel="0" collapsed="false">
      <c r="B13" s="21" t="s">
        <v>144</v>
      </c>
      <c r="C13" s="21" t="s">
        <v>69</v>
      </c>
      <c r="D13" s="21" t="s">
        <v>70</v>
      </c>
      <c r="E13" s="21" t="s">
        <v>145</v>
      </c>
      <c r="F13" s="21" t="s">
        <v>159</v>
      </c>
    </row>
    <row r="14" customFormat="false" ht="39.75" hidden="false" customHeight="true" outlineLevel="0" collapsed="false">
      <c r="B14" s="24" t="s">
        <v>160</v>
      </c>
      <c r="C14" s="24" t="s">
        <v>161</v>
      </c>
      <c r="D14" s="25" t="n">
        <v>30750</v>
      </c>
      <c r="E14" s="24" t="s">
        <v>162</v>
      </c>
      <c r="F14" s="24" t="s">
        <v>163</v>
      </c>
    </row>
    <row r="15" customFormat="false" ht="39.75" hidden="false" customHeight="true" outlineLevel="0" collapsed="false">
      <c r="B15" s="24" t="s">
        <v>164</v>
      </c>
      <c r="C15" s="24" t="s">
        <v>165</v>
      </c>
      <c r="D15" s="25" t="n">
        <v>4920</v>
      </c>
      <c r="E15" s="24" t="s">
        <v>166</v>
      </c>
      <c r="F15" s="24" t="s">
        <v>163</v>
      </c>
    </row>
    <row r="16" customFormat="false" ht="39.75" hidden="false" customHeight="true" outlineLevel="0" collapsed="false">
      <c r="B16" s="24" t="s">
        <v>167</v>
      </c>
      <c r="C16" s="24" t="s">
        <v>168</v>
      </c>
      <c r="D16" s="25" t="n">
        <v>10000</v>
      </c>
      <c r="E16" s="24" t="s">
        <v>169</v>
      </c>
      <c r="F16" s="24" t="s">
        <v>170</v>
      </c>
    </row>
    <row r="18" customFormat="false" ht="21.75" hidden="false" customHeight="true" outlineLevel="0" collapsed="false">
      <c r="A18" s="5" t="s">
        <v>115</v>
      </c>
      <c r="B18" s="5"/>
      <c r="C18" s="5"/>
      <c r="D18" s="5"/>
      <c r="E18" s="5"/>
      <c r="F18" s="5"/>
      <c r="G18" s="5"/>
      <c r="H18" s="5"/>
    </row>
    <row r="19" customFormat="false" ht="15" hidden="false" customHeight="true" outlineLevel="0" collapsed="false">
      <c r="B19" s="12" t="s">
        <v>171</v>
      </c>
      <c r="C19" s="12"/>
      <c r="D19" s="12"/>
      <c r="E19" s="12"/>
      <c r="F19" s="12"/>
      <c r="G19" s="12"/>
      <c r="H19" s="12"/>
    </row>
    <row r="20" customFormat="false" ht="15" hidden="false" customHeight="true" outlineLevel="0" collapsed="false">
      <c r="B20" s="12"/>
      <c r="C20" s="12"/>
      <c r="D20" s="12"/>
      <c r="E20" s="12"/>
      <c r="F20" s="12"/>
      <c r="G20" s="12"/>
      <c r="H20" s="12"/>
    </row>
    <row r="21" customFormat="false" ht="15" hidden="false" customHeight="true" outlineLevel="0" collapsed="false">
      <c r="B21" s="12"/>
      <c r="C21" s="12"/>
      <c r="D21" s="12"/>
      <c r="E21" s="12"/>
      <c r="F21" s="12"/>
      <c r="G21" s="12"/>
      <c r="H21" s="12"/>
    </row>
  </sheetData>
  <mergeCells count="7">
    <mergeCell ref="A2:H2"/>
    <mergeCell ref="C4:H4"/>
    <mergeCell ref="C5:H5"/>
    <mergeCell ref="A7:H7"/>
    <mergeCell ref="A12:H12"/>
    <mergeCell ref="A18:H18"/>
    <mergeCell ref="B19: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2"/>
    <col collapsed="false" customWidth="true" hidden="false" outlineLevel="0" max="5" min="4" style="1" width="12"/>
    <col collapsed="false" customWidth="true" hidden="false" outlineLevel="0" max="6" min="6" style="1" width="14"/>
    <col collapsed="false" customWidth="true" hidden="false" outlineLevel="0" max="7" min="7" style="1" width="20"/>
    <col collapsed="false" customWidth="true" hidden="false" outlineLevel="0" max="8" min="8" style="1" width="16"/>
  </cols>
  <sheetData>
    <row r="2" customFormat="false" ht="21.75" hidden="false" customHeight="true" outlineLevel="0" collapsed="false">
      <c r="A2" s="5" t="s">
        <v>172</v>
      </c>
      <c r="B2" s="5"/>
      <c r="C2" s="5"/>
      <c r="D2" s="5"/>
      <c r="E2" s="5"/>
      <c r="F2" s="5"/>
      <c r="G2" s="5"/>
    </row>
    <row r="4" customFormat="false" ht="45" hidden="false" customHeight="true" outlineLevel="0" collapsed="false">
      <c r="B4" s="27" t="s">
        <v>173</v>
      </c>
      <c r="C4" s="27"/>
      <c r="D4" s="27"/>
      <c r="E4" s="27"/>
      <c r="F4" s="27"/>
      <c r="G4" s="27"/>
      <c r="H4" s="27"/>
    </row>
    <row r="6" customFormat="false" ht="21.75" hidden="false" customHeight="true" outlineLevel="0" collapsed="false">
      <c r="A6" s="5" t="s">
        <v>174</v>
      </c>
      <c r="B6" s="5"/>
      <c r="C6" s="5"/>
      <c r="D6" s="5"/>
      <c r="E6" s="5"/>
      <c r="F6" s="5"/>
      <c r="G6" s="5"/>
    </row>
    <row r="7" customFormat="false" ht="23.25" hidden="false" customHeight="true" outlineLevel="0" collapsed="false">
      <c r="B7" s="20" t="s">
        <v>175</v>
      </c>
      <c r="C7" s="20"/>
      <c r="D7" s="20"/>
      <c r="E7" s="20"/>
      <c r="F7" s="20"/>
      <c r="G7" s="20"/>
      <c r="H7" s="20"/>
    </row>
    <row r="9" customFormat="false" ht="39" hidden="false" customHeight="true" outlineLevel="0" collapsed="false">
      <c r="B9" s="21" t="s">
        <v>67</v>
      </c>
      <c r="C9" s="21" t="s">
        <v>68</v>
      </c>
      <c r="D9" s="21" t="s">
        <v>176</v>
      </c>
      <c r="E9" s="21" t="s">
        <v>177</v>
      </c>
      <c r="F9" s="21" t="s">
        <v>178</v>
      </c>
      <c r="G9" s="21" t="s">
        <v>179</v>
      </c>
      <c r="H9" s="21" t="s">
        <v>180</v>
      </c>
      <c r="I9" s="21" t="s">
        <v>181</v>
      </c>
    </row>
    <row r="10" customFormat="false" ht="15" hidden="false" customHeight="true" outlineLevel="0" collapsed="false">
      <c r="B10" s="28" t="s">
        <v>76</v>
      </c>
      <c r="C10" s="28" t="s">
        <v>77</v>
      </c>
      <c r="D10" s="28" t="s">
        <v>182</v>
      </c>
      <c r="E10" s="28" t="s">
        <v>183</v>
      </c>
      <c r="F10" s="28" t="s">
        <v>184</v>
      </c>
      <c r="G10" s="29" t="n">
        <v>14760</v>
      </c>
      <c r="H10" s="29" t="n">
        <v>0</v>
      </c>
      <c r="I10" s="29" t="n">
        <v>-2760</v>
      </c>
    </row>
    <row r="11" customFormat="false" ht="15" hidden="false" customHeight="true" outlineLevel="0" collapsed="false">
      <c r="B11" s="28" t="s">
        <v>83</v>
      </c>
      <c r="C11" s="28" t="s">
        <v>84</v>
      </c>
      <c r="D11" s="28" t="s">
        <v>185</v>
      </c>
      <c r="E11" s="28" t="s">
        <v>184</v>
      </c>
      <c r="F11" s="28" t="s">
        <v>183</v>
      </c>
      <c r="G11" s="29" t="n">
        <v>26000</v>
      </c>
      <c r="H11" s="29" t="n">
        <v>5980</v>
      </c>
      <c r="I11" s="29" t="n">
        <v>5980</v>
      </c>
    </row>
    <row r="13" customFormat="false" ht="15" hidden="false" customHeight="true" outlineLevel="0" collapsed="false">
      <c r="B13" s="12" t="s">
        <v>186</v>
      </c>
      <c r="C13" s="12"/>
      <c r="D13" s="12"/>
      <c r="E13" s="12"/>
      <c r="F13" s="12"/>
      <c r="G13" s="12"/>
      <c r="H13" s="12"/>
    </row>
    <row r="14" customFormat="false" ht="15" hidden="false" customHeight="true" outlineLevel="0" collapsed="false">
      <c r="B14" s="12"/>
      <c r="C14" s="12"/>
      <c r="D14" s="12"/>
      <c r="E14" s="12"/>
      <c r="F14" s="12"/>
      <c r="G14" s="12"/>
      <c r="H14" s="12"/>
    </row>
    <row r="15" customFormat="false" ht="15" hidden="false" customHeight="true" outlineLevel="0" collapsed="false">
      <c r="B15" s="12"/>
      <c r="C15" s="12"/>
      <c r="D15" s="12"/>
      <c r="E15" s="12"/>
      <c r="F15" s="12"/>
      <c r="G15" s="12"/>
      <c r="H15" s="12"/>
    </row>
    <row r="16" customFormat="false" ht="15" hidden="false" customHeight="true" outlineLevel="0" collapsed="false">
      <c r="B16" s="12"/>
      <c r="C16" s="12"/>
      <c r="D16" s="12"/>
      <c r="E16" s="12"/>
      <c r="F16" s="12"/>
      <c r="G16" s="12"/>
      <c r="H16" s="12"/>
    </row>
    <row r="18" customFormat="false" ht="21.75" hidden="false" customHeight="true" outlineLevel="0" collapsed="false">
      <c r="A18" s="5" t="s">
        <v>187</v>
      </c>
      <c r="B18" s="5"/>
      <c r="C18" s="5"/>
      <c r="D18" s="5"/>
      <c r="E18" s="5"/>
      <c r="F18" s="5"/>
      <c r="G18" s="5"/>
    </row>
    <row r="19" customFormat="false" ht="15" hidden="false" customHeight="true" outlineLevel="0" collapsed="false">
      <c r="B19" s="30" t="s">
        <v>188</v>
      </c>
      <c r="C19" s="30"/>
      <c r="D19" s="30"/>
      <c r="E19" s="30"/>
      <c r="F19" s="30"/>
      <c r="G19" s="30"/>
      <c r="H19" s="30"/>
    </row>
    <row r="20" customFormat="false" ht="15" hidden="false" customHeight="true" outlineLevel="0" collapsed="false">
      <c r="B20" s="30"/>
      <c r="C20" s="30"/>
      <c r="D20" s="30"/>
      <c r="E20" s="30"/>
      <c r="F20" s="30"/>
      <c r="G20" s="30"/>
      <c r="H20" s="30"/>
    </row>
    <row r="21" customFormat="false" ht="15" hidden="false" customHeight="true" outlineLevel="0" collapsed="false">
      <c r="B21" s="30"/>
      <c r="C21" s="30"/>
      <c r="D21" s="30"/>
      <c r="E21" s="30"/>
      <c r="F21" s="30"/>
      <c r="G21" s="30"/>
      <c r="H21" s="30"/>
    </row>
    <row r="23" customFormat="false" ht="21.75" hidden="false" customHeight="true" outlineLevel="0" collapsed="false">
      <c r="A23" s="5" t="s">
        <v>189</v>
      </c>
      <c r="B23" s="5"/>
      <c r="C23" s="5"/>
      <c r="D23" s="5"/>
      <c r="E23" s="5"/>
      <c r="F23" s="5"/>
      <c r="G23" s="5"/>
    </row>
    <row r="24" customFormat="false" ht="15" hidden="false" customHeight="true" outlineLevel="0" collapsed="false">
      <c r="B24" s="31" t="s">
        <v>190</v>
      </c>
      <c r="C24" s="31"/>
      <c r="D24" s="31"/>
      <c r="E24" s="31"/>
      <c r="F24" s="31"/>
      <c r="G24" s="31"/>
      <c r="H24" s="31"/>
    </row>
    <row r="25" customFormat="false" ht="15" hidden="false" customHeight="true" outlineLevel="0" collapsed="false">
      <c r="B25" s="31"/>
      <c r="C25" s="31"/>
      <c r="D25" s="31"/>
      <c r="E25" s="31"/>
      <c r="F25" s="31"/>
      <c r="G25" s="31"/>
      <c r="H25" s="31"/>
    </row>
    <row r="26" customFormat="false" ht="15" hidden="false" customHeight="true" outlineLevel="0" collapsed="false">
      <c r="B26" s="31"/>
      <c r="C26" s="31"/>
      <c r="D26" s="31"/>
      <c r="E26" s="31"/>
      <c r="F26" s="31"/>
      <c r="G26" s="31"/>
      <c r="H26" s="31"/>
    </row>
    <row r="28" customFormat="false" ht="21.75" hidden="false" customHeight="true" outlineLevel="0" collapsed="false">
      <c r="A28" s="5" t="s">
        <v>191</v>
      </c>
      <c r="B28" s="5"/>
      <c r="C28" s="5"/>
      <c r="D28" s="5"/>
      <c r="E28" s="5"/>
      <c r="F28" s="5"/>
      <c r="G28" s="5"/>
    </row>
    <row r="29" customFormat="false" ht="15" hidden="false" customHeight="true" outlineLevel="0" collapsed="false">
      <c r="B29" s="21" t="s">
        <v>44</v>
      </c>
      <c r="C29" s="21" t="s">
        <v>70</v>
      </c>
    </row>
    <row r="30" customFormat="false" ht="15" hidden="false" customHeight="true" outlineLevel="0" collapsed="false">
      <c r="B30" s="32" t="s">
        <v>192</v>
      </c>
      <c r="C30" s="33" t="n">
        <v>109871</v>
      </c>
    </row>
    <row r="31" customFormat="false" ht="15" hidden="false" customHeight="true" outlineLevel="0" collapsed="false">
      <c r="B31" s="32" t="s">
        <v>193</v>
      </c>
      <c r="C31" s="33" t="n">
        <v>-68300.8</v>
      </c>
    </row>
    <row r="32" customFormat="false" ht="15" hidden="false" customHeight="true" outlineLevel="0" collapsed="false">
      <c r="B32" s="32" t="s">
        <v>194</v>
      </c>
      <c r="C32" s="34" t="n">
        <v>41570.2</v>
      </c>
    </row>
    <row r="33" customFormat="false" ht="15" hidden="false" customHeight="true" outlineLevel="0" collapsed="false">
      <c r="B33" s="32" t="s">
        <v>195</v>
      </c>
      <c r="C33" s="33" t="n">
        <v>41570.2</v>
      </c>
    </row>
    <row r="34" customFormat="false" ht="15" hidden="false" customHeight="true" outlineLevel="0" collapsed="false">
      <c r="B34" s="35" t="s">
        <v>196</v>
      </c>
      <c r="C34" s="36" t="n">
        <v>0</v>
      </c>
    </row>
    <row r="36" customFormat="false" ht="15" hidden="false" customHeight="true" outlineLevel="0" collapsed="false">
      <c r="B36" s="12" t="s">
        <v>197</v>
      </c>
      <c r="C36" s="12"/>
      <c r="D36" s="12"/>
      <c r="E36" s="12"/>
      <c r="F36" s="12"/>
      <c r="G36" s="12"/>
      <c r="H36" s="12"/>
    </row>
    <row r="37" customFormat="false" ht="15" hidden="false" customHeight="true" outlineLevel="0" collapsed="false">
      <c r="B37" s="12"/>
      <c r="C37" s="12"/>
      <c r="D37" s="12"/>
      <c r="E37" s="12"/>
      <c r="F37" s="12"/>
      <c r="G37" s="12"/>
      <c r="H37" s="12"/>
    </row>
    <row r="38" customFormat="false" ht="15" hidden="false" customHeight="true" outlineLevel="0" collapsed="false">
      <c r="B38" s="12"/>
      <c r="C38" s="12"/>
      <c r="D38" s="12"/>
      <c r="E38" s="12"/>
      <c r="F38" s="12"/>
      <c r="G38" s="12"/>
      <c r="H38" s="12"/>
    </row>
  </sheetData>
  <mergeCells count="11">
    <mergeCell ref="A2:G2"/>
    <mergeCell ref="B4:H4"/>
    <mergeCell ref="A6:G6"/>
    <mergeCell ref="B7:H7"/>
    <mergeCell ref="B13:H16"/>
    <mergeCell ref="A18:G18"/>
    <mergeCell ref="B19:H21"/>
    <mergeCell ref="A23:G23"/>
    <mergeCell ref="B24:H26"/>
    <mergeCell ref="A28:G28"/>
    <mergeCell ref="B36: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14"/>
    <col collapsed="false" customWidth="true" hidden="false" outlineLevel="0" max="5" min="4" style="1" width="16"/>
    <col collapsed="false" customWidth="true" hidden="false" outlineLevel="0" max="6" min="6" style="1" width="22"/>
    <col collapsed="false" customWidth="true" hidden="false" outlineLevel="0" max="7" min="7" style="1" width="18"/>
  </cols>
  <sheetData>
    <row r="2" customFormat="false" ht="21.75" hidden="false" customHeight="true" outlineLevel="0" collapsed="false">
      <c r="A2" s="5" t="s">
        <v>198</v>
      </c>
      <c r="B2" s="5"/>
      <c r="C2" s="5"/>
      <c r="D2" s="5"/>
      <c r="E2" s="5"/>
      <c r="F2" s="5"/>
      <c r="G2" s="5"/>
    </row>
    <row r="4" customFormat="false" ht="39.75" hidden="false" customHeight="true" outlineLevel="0" collapsed="false">
      <c r="B4" s="37" t="s">
        <v>199</v>
      </c>
      <c r="C4" s="37"/>
      <c r="D4" s="37"/>
      <c r="E4" s="37"/>
      <c r="F4" s="37"/>
      <c r="G4" s="37"/>
      <c r="H4" s="37"/>
    </row>
    <row r="6" customFormat="false" ht="21.75" hidden="false" customHeight="true" outlineLevel="0" collapsed="false">
      <c r="A6" s="5" t="s">
        <v>200</v>
      </c>
      <c r="B6" s="5"/>
      <c r="C6" s="5"/>
      <c r="D6" s="5"/>
      <c r="E6" s="5"/>
      <c r="F6" s="5"/>
      <c r="G6" s="5"/>
    </row>
    <row r="7" customFormat="false" ht="51.75" hidden="false" customHeight="true" outlineLevel="0" collapsed="false">
      <c r="B7" s="21" t="s">
        <v>201</v>
      </c>
      <c r="C7" s="21" t="s">
        <v>202</v>
      </c>
      <c r="D7" s="21" t="s">
        <v>203</v>
      </c>
      <c r="E7" s="21" t="s">
        <v>204</v>
      </c>
      <c r="F7" s="21" t="s">
        <v>205</v>
      </c>
      <c r="G7" s="21" t="s">
        <v>206</v>
      </c>
      <c r="H7" s="21" t="s">
        <v>207</v>
      </c>
    </row>
    <row r="8" customFormat="false" ht="15" hidden="false" customHeight="true" outlineLevel="0" collapsed="false">
      <c r="B8" s="38" t="s">
        <v>208</v>
      </c>
      <c r="C8" s="39" t="n">
        <v>25000</v>
      </c>
      <c r="D8" s="38" t="s">
        <v>161</v>
      </c>
      <c r="E8" s="38" t="s">
        <v>209</v>
      </c>
      <c r="F8" s="38" t="s">
        <v>210</v>
      </c>
      <c r="G8" s="38" t="n">
        <v>2</v>
      </c>
      <c r="H8" s="39" t="n">
        <f aca="false">C8/5/12*G8</f>
        <v>833.333333333333</v>
      </c>
    </row>
    <row r="9" customFormat="false" ht="15" hidden="false" customHeight="true" outlineLevel="0" collapsed="false">
      <c r="B9" s="38" t="s">
        <v>211</v>
      </c>
      <c r="C9" s="39" t="n">
        <v>4000</v>
      </c>
      <c r="D9" s="38" t="s">
        <v>165</v>
      </c>
      <c r="E9" s="38" t="s">
        <v>209</v>
      </c>
      <c r="F9" s="38" t="s">
        <v>210</v>
      </c>
      <c r="G9" s="38" t="n">
        <v>2</v>
      </c>
      <c r="H9" s="39" t="n">
        <f aca="false">C9/5/12*G9</f>
        <v>133.333333333333</v>
      </c>
    </row>
    <row r="10" customFormat="false" ht="15" hidden="false" customHeight="true" outlineLevel="0" collapsed="false">
      <c r="B10" s="40" t="s">
        <v>212</v>
      </c>
      <c r="C10" s="41"/>
      <c r="D10" s="40"/>
      <c r="E10" s="40"/>
      <c r="F10" s="40"/>
      <c r="G10" s="40"/>
      <c r="H10" s="41" t="n">
        <f aca="false">H8+H9</f>
        <v>966.666666666667</v>
      </c>
    </row>
    <row r="12" customFormat="false" ht="15" hidden="false" customHeight="true" outlineLevel="0" collapsed="false">
      <c r="B12" s="12" t="s">
        <v>213</v>
      </c>
      <c r="C12" s="12"/>
      <c r="D12" s="12"/>
      <c r="E12" s="12"/>
      <c r="F12" s="12"/>
      <c r="G12" s="12"/>
      <c r="H12" s="12"/>
    </row>
    <row r="13" customFormat="false" ht="15" hidden="false" customHeight="true" outlineLevel="0" collapsed="false">
      <c r="B13" s="12"/>
      <c r="C13" s="12"/>
      <c r="D13" s="12"/>
      <c r="E13" s="12"/>
      <c r="F13" s="12"/>
      <c r="G13" s="12"/>
      <c r="H13" s="12"/>
    </row>
    <row r="14" customFormat="false" ht="15" hidden="false" customHeight="true" outlineLevel="0" collapsed="false">
      <c r="B14" s="12"/>
      <c r="C14" s="12"/>
      <c r="D14" s="12"/>
      <c r="E14" s="12"/>
      <c r="F14" s="12"/>
      <c r="G14" s="12"/>
      <c r="H14" s="12"/>
    </row>
    <row r="17" customFormat="false" ht="21.75" hidden="false" customHeight="true" outlineLevel="0" collapsed="false">
      <c r="A17" s="5" t="s">
        <v>214</v>
      </c>
      <c r="B17" s="5"/>
      <c r="C17" s="5"/>
      <c r="D17" s="5"/>
      <c r="E17" s="5"/>
      <c r="F17" s="5"/>
      <c r="G17" s="5"/>
    </row>
    <row r="18" customFormat="false" ht="15" hidden="false" customHeight="true" outlineLevel="0" collapsed="false">
      <c r="B18" s="42" t="s">
        <v>215</v>
      </c>
      <c r="C18" s="42"/>
      <c r="D18" s="42"/>
      <c r="E18" s="42"/>
      <c r="F18" s="42"/>
      <c r="G18" s="42"/>
      <c r="H18" s="42"/>
    </row>
    <row r="19" customFormat="false" ht="15" hidden="false" customHeight="true" outlineLevel="0" collapsed="false">
      <c r="B19" s="42"/>
      <c r="C19" s="42"/>
      <c r="D19" s="42"/>
      <c r="E19" s="42"/>
      <c r="F19" s="42"/>
      <c r="G19" s="42"/>
      <c r="H19" s="42"/>
    </row>
    <row r="20" customFormat="false" ht="15" hidden="false" customHeight="true" outlineLevel="0" collapsed="false">
      <c r="B20" s="21" t="s">
        <v>216</v>
      </c>
      <c r="C20" s="21" t="s">
        <v>69</v>
      </c>
      <c r="D20" s="21" t="s">
        <v>217</v>
      </c>
      <c r="E20" s="21" t="s">
        <v>145</v>
      </c>
      <c r="F20" s="21" t="s">
        <v>70</v>
      </c>
      <c r="G20" s="21" t="s">
        <v>218</v>
      </c>
    </row>
    <row r="21" customFormat="false" ht="34.5" hidden="false" customHeight="true" outlineLevel="0" collapsed="false">
      <c r="B21" s="43" t="s">
        <v>219</v>
      </c>
      <c r="C21" s="43" t="s">
        <v>220</v>
      </c>
      <c r="D21" s="43" t="s">
        <v>221</v>
      </c>
      <c r="E21" s="43" t="s">
        <v>222</v>
      </c>
      <c r="F21" s="44" t="n">
        <v>20000</v>
      </c>
      <c r="G21" s="43" t="s">
        <v>223</v>
      </c>
    </row>
    <row r="23" customFormat="false" ht="21.75" hidden="false" customHeight="true" outlineLevel="0" collapsed="false">
      <c r="A23" s="5" t="s">
        <v>224</v>
      </c>
      <c r="B23" s="5"/>
      <c r="C23" s="5"/>
      <c r="D23" s="5"/>
      <c r="E23" s="5"/>
      <c r="F23" s="5"/>
      <c r="G23" s="5"/>
    </row>
    <row r="24" customFormat="false" ht="15" hidden="false" customHeight="true" outlineLevel="0" collapsed="false">
      <c r="B24" s="45" t="s">
        <v>225</v>
      </c>
      <c r="C24" s="45"/>
      <c r="D24" s="45"/>
      <c r="E24" s="45"/>
      <c r="F24" s="45"/>
      <c r="G24" s="45"/>
      <c r="H24" s="45"/>
    </row>
    <row r="25" customFormat="false" ht="15" hidden="false" customHeight="true" outlineLevel="0" collapsed="false">
      <c r="B25" s="45"/>
      <c r="C25" s="45"/>
      <c r="D25" s="45"/>
      <c r="E25" s="45"/>
      <c r="F25" s="45"/>
      <c r="G25" s="45"/>
      <c r="H25" s="45"/>
    </row>
    <row r="26" customFormat="false" ht="15" hidden="false" customHeight="true" outlineLevel="0" collapsed="false">
      <c r="B26" s="45"/>
      <c r="C26" s="45"/>
      <c r="D26" s="45"/>
      <c r="E26" s="45"/>
      <c r="F26" s="45"/>
      <c r="G26" s="45"/>
      <c r="H26" s="45"/>
    </row>
    <row r="27" customFormat="false" ht="15" hidden="false" customHeight="true" outlineLevel="0" collapsed="false">
      <c r="B27" s="45"/>
      <c r="C27" s="45"/>
      <c r="D27" s="45"/>
      <c r="E27" s="45"/>
      <c r="F27" s="45"/>
      <c r="G27" s="45"/>
      <c r="H27" s="45"/>
    </row>
    <row r="28" customFormat="false" ht="15" hidden="false" customHeight="true" outlineLevel="0" collapsed="false">
      <c r="B28" s="45"/>
      <c r="C28" s="45"/>
      <c r="D28" s="45"/>
      <c r="E28" s="45"/>
      <c r="F28" s="45"/>
      <c r="G28" s="45"/>
      <c r="H28" s="45"/>
    </row>
    <row r="29" customFormat="false" ht="15" hidden="false" customHeight="true" outlineLevel="0" collapsed="false">
      <c r="B29" s="45"/>
      <c r="C29" s="45"/>
      <c r="D29" s="45"/>
      <c r="E29" s="45"/>
      <c r="F29" s="45"/>
      <c r="G29" s="45"/>
      <c r="H29" s="45"/>
    </row>
  </sheetData>
  <mergeCells count="8">
    <mergeCell ref="A2:G2"/>
    <mergeCell ref="B4:H4"/>
    <mergeCell ref="A6:G6"/>
    <mergeCell ref="B12:H14"/>
    <mergeCell ref="A17:G17"/>
    <mergeCell ref="B18:H19"/>
    <mergeCell ref="A23:G23"/>
    <mergeCell ref="B24: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16"/>
    <col collapsed="false" customWidth="true" hidden="false" outlineLevel="0" max="4" min="4" style="1" width="45"/>
    <col collapsed="false" customWidth="true" hidden="false" outlineLevel="0" max="5" min="5" style="1" width="12"/>
    <col collapsed="false" customWidth="true" hidden="false" outlineLevel="0" max="6" min="6" style="1" width="20"/>
    <col collapsed="false" customWidth="true" hidden="false" outlineLevel="0" max="7" min="7" style="1" width="32"/>
    <col collapsed="false" customWidth="true" hidden="false" outlineLevel="0" max="8" min="8" style="1" width="22"/>
  </cols>
  <sheetData>
    <row r="2" customFormat="false" ht="21.75" hidden="false" customHeight="true" outlineLevel="0" collapsed="false">
      <c r="A2" s="5" t="s">
        <v>226</v>
      </c>
      <c r="B2" s="5"/>
      <c r="C2" s="5"/>
      <c r="D2" s="5"/>
      <c r="E2" s="5"/>
      <c r="F2" s="5"/>
      <c r="G2" s="5"/>
      <c r="H2" s="5"/>
    </row>
    <row r="4" customFormat="false" ht="15" hidden="false" customHeight="true" outlineLevel="0" collapsed="false">
      <c r="B4" s="46" t="s">
        <v>227</v>
      </c>
      <c r="C4" s="46"/>
      <c r="D4" s="46"/>
      <c r="E4" s="46"/>
      <c r="F4" s="46"/>
      <c r="G4" s="46"/>
      <c r="H4" s="46"/>
      <c r="I4" s="46"/>
    </row>
    <row r="6" customFormat="false" ht="15" hidden="false" customHeight="true" outlineLevel="0" collapsed="false">
      <c r="B6" s="21" t="s">
        <v>228</v>
      </c>
      <c r="C6" s="21" t="s">
        <v>229</v>
      </c>
      <c r="D6" s="21" t="s">
        <v>230</v>
      </c>
      <c r="E6" s="21" t="s">
        <v>70</v>
      </c>
      <c r="F6" s="21" t="s">
        <v>231</v>
      </c>
      <c r="G6" s="21" t="s">
        <v>232</v>
      </c>
      <c r="H6" s="21" t="s">
        <v>14</v>
      </c>
    </row>
    <row r="7" customFormat="false" ht="75" hidden="false" customHeight="true" outlineLevel="0" collapsed="false">
      <c r="B7" s="47" t="s">
        <v>233</v>
      </c>
      <c r="C7" s="47" t="s">
        <v>234</v>
      </c>
      <c r="D7" s="47" t="s">
        <v>235</v>
      </c>
      <c r="E7" s="48" t="n">
        <v>19333</v>
      </c>
      <c r="F7" s="47" t="s">
        <v>236</v>
      </c>
      <c r="G7" s="47" t="s">
        <v>237</v>
      </c>
      <c r="H7" s="47" t="s">
        <v>238</v>
      </c>
    </row>
    <row r="8" customFormat="false" ht="75" hidden="false" customHeight="true" outlineLevel="0" collapsed="false">
      <c r="B8" s="47" t="s">
        <v>239</v>
      </c>
      <c r="C8" s="47" t="s">
        <v>240</v>
      </c>
      <c r="D8" s="47" t="s">
        <v>241</v>
      </c>
      <c r="E8" s="48" t="n">
        <v>12054</v>
      </c>
      <c r="F8" s="47" t="s">
        <v>242</v>
      </c>
      <c r="G8" s="47" t="s">
        <v>243</v>
      </c>
      <c r="H8" s="47" t="s">
        <v>244</v>
      </c>
    </row>
    <row r="9" customFormat="false" ht="75" hidden="false" customHeight="true" outlineLevel="0" collapsed="false">
      <c r="B9" s="47" t="s">
        <v>245</v>
      </c>
      <c r="C9" s="47" t="s">
        <v>22</v>
      </c>
      <c r="D9" s="47" t="s">
        <v>246</v>
      </c>
      <c r="E9" s="48" t="n">
        <v>27798</v>
      </c>
      <c r="F9" s="47" t="s">
        <v>247</v>
      </c>
      <c r="G9" s="47" t="s">
        <v>248</v>
      </c>
      <c r="H9" s="47" t="s">
        <v>249</v>
      </c>
    </row>
    <row r="10" customFormat="false" ht="75" hidden="false" customHeight="true" outlineLevel="0" collapsed="false">
      <c r="B10" s="22" t="s">
        <v>250</v>
      </c>
      <c r="C10" s="22" t="s">
        <v>24</v>
      </c>
      <c r="D10" s="22" t="s">
        <v>251</v>
      </c>
      <c r="E10" s="49" t="n">
        <v>3220</v>
      </c>
      <c r="F10" s="22" t="s">
        <v>252</v>
      </c>
      <c r="G10" s="22" t="s">
        <v>253</v>
      </c>
      <c r="H10" s="22" t="s">
        <v>238</v>
      </c>
    </row>
    <row r="11" customFormat="false" ht="75" hidden="false" customHeight="true" outlineLevel="0" collapsed="false">
      <c r="B11" s="22" t="s">
        <v>254</v>
      </c>
      <c r="C11" s="22" t="s">
        <v>255</v>
      </c>
      <c r="D11" s="22" t="s">
        <v>256</v>
      </c>
      <c r="E11" s="49" t="n">
        <v>6150</v>
      </c>
      <c r="F11" s="22" t="s">
        <v>252</v>
      </c>
      <c r="G11" s="22" t="s">
        <v>257</v>
      </c>
      <c r="H11" s="22" t="s">
        <v>238</v>
      </c>
    </row>
    <row r="12" customFormat="false" ht="75" hidden="false" customHeight="true" outlineLevel="0" collapsed="false">
      <c r="B12" s="24" t="s">
        <v>258</v>
      </c>
      <c r="C12" s="24" t="s">
        <v>259</v>
      </c>
      <c r="D12" s="24" t="s">
        <v>260</v>
      </c>
      <c r="E12" s="50" t="n">
        <v>966.66</v>
      </c>
      <c r="F12" s="24" t="s">
        <v>261</v>
      </c>
      <c r="G12" s="24" t="s">
        <v>262</v>
      </c>
      <c r="H12" s="24" t="s">
        <v>263</v>
      </c>
    </row>
    <row r="13" customFormat="false" ht="75" hidden="false" customHeight="true" outlineLevel="0" collapsed="false">
      <c r="B13" s="22" t="s">
        <v>264</v>
      </c>
      <c r="C13" s="22" t="s">
        <v>22</v>
      </c>
      <c r="D13" s="22" t="s">
        <v>265</v>
      </c>
      <c r="E13" s="49" t="n">
        <v>1800</v>
      </c>
      <c r="F13" s="22" t="s">
        <v>252</v>
      </c>
      <c r="G13" s="22" t="s">
        <v>266</v>
      </c>
      <c r="H13" s="22" t="s">
        <v>263</v>
      </c>
    </row>
    <row r="15" customFormat="false" ht="21.75" hidden="false" customHeight="true" outlineLevel="0" collapsed="false">
      <c r="A15" s="5" t="s">
        <v>267</v>
      </c>
      <c r="B15" s="5"/>
      <c r="C15" s="5"/>
      <c r="D15" s="5"/>
      <c r="E15" s="5"/>
      <c r="F15" s="5"/>
      <c r="G15" s="5"/>
      <c r="H15" s="5"/>
    </row>
    <row r="16" customFormat="false" ht="15" hidden="false" customHeight="true" outlineLevel="0" collapsed="false">
      <c r="B16" s="12" t="s">
        <v>268</v>
      </c>
      <c r="C16" s="12"/>
      <c r="D16" s="12"/>
      <c r="E16" s="12"/>
      <c r="F16" s="12"/>
      <c r="G16" s="12"/>
      <c r="H16" s="12"/>
      <c r="I16" s="12"/>
    </row>
    <row r="17" customFormat="false" ht="15" hidden="false" customHeight="true" outlineLevel="0" collapsed="false">
      <c r="B17" s="12"/>
      <c r="C17" s="12"/>
      <c r="D17" s="12"/>
      <c r="E17" s="12"/>
      <c r="F17" s="12"/>
      <c r="G17" s="12"/>
      <c r="H17" s="12"/>
      <c r="I17" s="12"/>
    </row>
    <row r="18" customFormat="false" ht="15" hidden="false" customHeight="true" outlineLevel="0" collapsed="false">
      <c r="B18" s="12"/>
      <c r="C18" s="12"/>
      <c r="D18" s="12"/>
      <c r="E18" s="12"/>
      <c r="F18" s="12"/>
      <c r="G18" s="12"/>
      <c r="H18" s="12"/>
      <c r="I18" s="12"/>
    </row>
    <row r="19" customFormat="false" ht="15" hidden="false" customHeight="true" outlineLevel="0" collapsed="false">
      <c r="B19" s="12"/>
      <c r="C19" s="12"/>
      <c r="D19" s="12"/>
      <c r="E19" s="12"/>
      <c r="F19" s="12"/>
      <c r="G19" s="12"/>
      <c r="H19" s="12"/>
      <c r="I19" s="12"/>
    </row>
    <row r="21" customFormat="false" ht="21.75" hidden="false" customHeight="true" outlineLevel="0" collapsed="false">
      <c r="A21" s="5" t="s">
        <v>269</v>
      </c>
      <c r="B21" s="5"/>
      <c r="C21" s="5"/>
      <c r="D21" s="5"/>
      <c r="E21" s="5"/>
      <c r="F21" s="5"/>
      <c r="G21" s="5"/>
      <c r="H21" s="5"/>
    </row>
    <row r="22" customFormat="false" ht="15" hidden="false" customHeight="true" outlineLevel="0" collapsed="false">
      <c r="B22" s="21" t="s">
        <v>228</v>
      </c>
      <c r="C22" s="21" t="s">
        <v>229</v>
      </c>
      <c r="D22" s="21" t="s">
        <v>230</v>
      </c>
      <c r="E22" s="21" t="s">
        <v>70</v>
      </c>
      <c r="F22" s="21" t="s">
        <v>231</v>
      </c>
      <c r="G22" s="21" t="s">
        <v>232</v>
      </c>
      <c r="H22" s="21" t="s">
        <v>14</v>
      </c>
    </row>
    <row r="23" customFormat="false" ht="129.75" hidden="false" customHeight="true" outlineLevel="0" collapsed="false">
      <c r="B23" s="51" t="s">
        <v>270</v>
      </c>
      <c r="C23" s="51" t="s">
        <v>271</v>
      </c>
      <c r="D23" s="51" t="s">
        <v>272</v>
      </c>
      <c r="E23" s="52" t="n">
        <v>92659</v>
      </c>
      <c r="F23" s="51" t="s">
        <v>273</v>
      </c>
      <c r="G23" s="51" t="s">
        <v>274</v>
      </c>
      <c r="H23" s="51" t="s">
        <v>275</v>
      </c>
    </row>
    <row r="25" customFormat="false" ht="21.75" hidden="false" customHeight="true" outlineLevel="0" collapsed="false">
      <c r="A25" s="5" t="s">
        <v>276</v>
      </c>
      <c r="B25" s="5"/>
      <c r="C25" s="5"/>
      <c r="D25" s="5"/>
      <c r="E25" s="5"/>
      <c r="F25" s="5"/>
      <c r="G25" s="5"/>
      <c r="H25" s="5"/>
    </row>
    <row r="26" customFormat="false" ht="26.25" hidden="false" customHeight="true" outlineLevel="0" collapsed="false">
      <c r="B26" s="21" t="s">
        <v>228</v>
      </c>
      <c r="C26" s="21" t="s">
        <v>277</v>
      </c>
      <c r="D26" s="21" t="s">
        <v>278</v>
      </c>
      <c r="E26" s="21" t="s">
        <v>279</v>
      </c>
      <c r="F26" s="21" t="s">
        <v>280</v>
      </c>
    </row>
    <row r="27" customFormat="false" ht="84.75" hidden="false" customHeight="true" outlineLevel="0" collapsed="false">
      <c r="B27" s="51" t="s">
        <v>233</v>
      </c>
      <c r="C27" s="51" t="s">
        <v>281</v>
      </c>
      <c r="D27" s="51" t="s">
        <v>282</v>
      </c>
      <c r="E27" s="52" t="n">
        <v>-19333.33</v>
      </c>
      <c r="F27" s="51" t="s">
        <v>283</v>
      </c>
    </row>
    <row r="28" customFormat="false" ht="84.75" hidden="false" customHeight="true" outlineLevel="0" collapsed="false">
      <c r="B28" s="51" t="s">
        <v>245</v>
      </c>
      <c r="C28" s="51" t="s">
        <v>284</v>
      </c>
      <c r="D28" s="51" t="s">
        <v>285</v>
      </c>
      <c r="E28" s="52" t="n">
        <v>0</v>
      </c>
      <c r="F28" s="51" t="s">
        <v>286</v>
      </c>
    </row>
    <row r="29" customFormat="false" ht="84.75" hidden="false" customHeight="true" outlineLevel="0" collapsed="false">
      <c r="B29" s="51" t="s">
        <v>250</v>
      </c>
      <c r="C29" s="51" t="s">
        <v>287</v>
      </c>
      <c r="D29" s="51" t="s">
        <v>288</v>
      </c>
      <c r="E29" s="52" t="n">
        <v>0</v>
      </c>
      <c r="F29" s="51" t="s">
        <v>289</v>
      </c>
    </row>
    <row r="30" customFormat="false" ht="84.75" hidden="false" customHeight="true" outlineLevel="0" collapsed="false">
      <c r="B30" s="51" t="s">
        <v>254</v>
      </c>
      <c r="C30" s="51" t="s">
        <v>290</v>
      </c>
      <c r="D30" s="51" t="s">
        <v>291</v>
      </c>
      <c r="E30" s="52" t="n">
        <v>-5000</v>
      </c>
      <c r="F30" s="51" t="s">
        <v>292</v>
      </c>
    </row>
    <row r="32" customFormat="false" ht="15" hidden="false" customHeight="true" outlineLevel="0" collapsed="false">
      <c r="B32" s="53" t="s">
        <v>293</v>
      </c>
      <c r="C32" s="53"/>
      <c r="D32" s="53"/>
      <c r="E32" s="53"/>
      <c r="F32" s="53"/>
      <c r="G32" s="53"/>
      <c r="H32" s="53"/>
    </row>
    <row r="33" customFormat="false" ht="15" hidden="false" customHeight="true" outlineLevel="0" collapsed="false">
      <c r="B33" s="53"/>
      <c r="C33" s="53"/>
      <c r="D33" s="53"/>
      <c r="E33" s="53"/>
      <c r="F33" s="53"/>
      <c r="G33" s="53"/>
      <c r="H33" s="53"/>
    </row>
    <row r="34" customFormat="false" ht="15" hidden="false" customHeight="true" outlineLevel="0" collapsed="false">
      <c r="B34" s="53"/>
      <c r="C34" s="53"/>
      <c r="D34" s="53"/>
      <c r="E34" s="53"/>
      <c r="F34" s="53"/>
      <c r="G34" s="53"/>
      <c r="H34" s="53"/>
    </row>
    <row r="36" customFormat="false" ht="21.75" hidden="false" customHeight="true" outlineLevel="0" collapsed="false">
      <c r="A36" s="54" t="s">
        <v>294</v>
      </c>
      <c r="B36" s="54"/>
      <c r="C36" s="54"/>
      <c r="D36" s="54"/>
      <c r="E36" s="54"/>
      <c r="F36" s="54"/>
      <c r="G36" s="54"/>
      <c r="H36" s="54"/>
    </row>
    <row r="37" customFormat="false" ht="15" hidden="false" customHeight="true" outlineLevel="0" collapsed="false">
      <c r="B37" s="21" t="s">
        <v>228</v>
      </c>
      <c r="C37" s="21" t="s">
        <v>295</v>
      </c>
      <c r="D37" s="21" t="s">
        <v>296</v>
      </c>
    </row>
    <row r="38" customFormat="false" ht="69.75" hidden="false" customHeight="true" outlineLevel="0" collapsed="false">
      <c r="B38" s="24" t="s">
        <v>245</v>
      </c>
      <c r="C38" s="24" t="s">
        <v>297</v>
      </c>
      <c r="D38" s="24" t="s">
        <v>298</v>
      </c>
    </row>
    <row r="39" customFormat="false" ht="69.75" hidden="false" customHeight="true" outlineLevel="0" collapsed="false">
      <c r="B39" s="24" t="s">
        <v>270</v>
      </c>
      <c r="C39" s="24" t="s">
        <v>299</v>
      </c>
      <c r="D39" s="24" t="s">
        <v>300</v>
      </c>
    </row>
    <row r="41" customFormat="false" ht="15" hidden="false" customHeight="true" outlineLevel="0" collapsed="false">
      <c r="B41" s="55" t="s">
        <v>301</v>
      </c>
      <c r="C41" s="55"/>
      <c r="D41" s="55"/>
      <c r="E41" s="55"/>
      <c r="F41" s="55"/>
      <c r="G41" s="55"/>
      <c r="H41" s="55"/>
    </row>
    <row r="42" customFormat="false" ht="15" hidden="false" customHeight="true" outlineLevel="0" collapsed="false">
      <c r="B42" s="55"/>
      <c r="C42" s="55"/>
      <c r="D42" s="55"/>
      <c r="E42" s="55"/>
      <c r="F42" s="55"/>
      <c r="G42" s="55"/>
      <c r="H42" s="55"/>
    </row>
    <row r="43" customFormat="false" ht="15" hidden="false" customHeight="true" outlineLevel="0" collapsed="false">
      <c r="B43" s="55"/>
      <c r="C43" s="55"/>
      <c r="D43" s="55"/>
      <c r="E43" s="55"/>
      <c r="F43" s="55"/>
      <c r="G43" s="55"/>
      <c r="H43" s="55"/>
    </row>
  </sheetData>
  <mergeCells count="9">
    <mergeCell ref="A2:H2"/>
    <mergeCell ref="B4:I4"/>
    <mergeCell ref="A15:H15"/>
    <mergeCell ref="B16:I19"/>
    <mergeCell ref="A21:H21"/>
    <mergeCell ref="A25:H25"/>
    <mergeCell ref="B32:H34"/>
    <mergeCell ref="A36:H36"/>
    <mergeCell ref="B41:H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5"/>
    <col collapsed="false" customWidth="true" hidden="false" outlineLevel="0" max="4" min="3" style="1" width="16"/>
    <col collapsed="false" customWidth="true" hidden="false" outlineLevel="0" max="7" min="5" style="1" width="8"/>
  </cols>
  <sheetData>
    <row r="2" customFormat="false" ht="21.75" hidden="false" customHeight="true" outlineLevel="0" collapsed="false">
      <c r="A2" s="5" t="s">
        <v>302</v>
      </c>
      <c r="B2" s="5"/>
      <c r="C2" s="5"/>
      <c r="D2" s="5"/>
      <c r="E2" s="5"/>
      <c r="F2" s="5"/>
      <c r="G2" s="5"/>
    </row>
    <row r="4" customFormat="false" ht="30" hidden="false" customHeight="true" outlineLevel="0" collapsed="false">
      <c r="B4" s="56" t="s">
        <v>303</v>
      </c>
      <c r="C4" s="56"/>
      <c r="D4" s="56"/>
      <c r="E4" s="56"/>
      <c r="F4" s="56"/>
      <c r="G4" s="56"/>
      <c r="H4" s="56"/>
    </row>
    <row r="6" customFormat="false" ht="21.75" hidden="false" customHeight="true" outlineLevel="0" collapsed="false">
      <c r="A6" s="5" t="s">
        <v>304</v>
      </c>
      <c r="B6" s="5"/>
      <c r="C6" s="5"/>
      <c r="D6" s="5"/>
      <c r="E6" s="5"/>
      <c r="F6" s="5"/>
      <c r="G6" s="5"/>
    </row>
    <row r="7" customFormat="false" ht="15" hidden="false" customHeight="true" outlineLevel="0" collapsed="false">
      <c r="B7" s="21" t="s">
        <v>176</v>
      </c>
      <c r="C7" s="21" t="s">
        <v>305</v>
      </c>
      <c r="D7" s="21" t="s">
        <v>306</v>
      </c>
    </row>
    <row r="8" customFormat="false" ht="15" hidden="false" customHeight="true" outlineLevel="0" collapsed="false">
      <c r="B8" s="32" t="s">
        <v>307</v>
      </c>
      <c r="C8" s="57" t="n">
        <v>966.66</v>
      </c>
      <c r="D8" s="32"/>
    </row>
    <row r="9" customFormat="false" ht="15" hidden="false" customHeight="true" outlineLevel="0" collapsed="false">
      <c r="B9" s="32" t="s">
        <v>308</v>
      </c>
      <c r="C9" s="32"/>
      <c r="D9" s="57" t="n">
        <v>833.33</v>
      </c>
    </row>
    <row r="10" customFormat="false" ht="15" hidden="false" customHeight="true" outlineLevel="0" collapsed="false">
      <c r="B10" s="32" t="s">
        <v>309</v>
      </c>
      <c r="C10" s="32"/>
      <c r="D10" s="57" t="n">
        <v>133.33</v>
      </c>
    </row>
    <row r="11" customFormat="false" ht="15" hidden="false" customHeight="true" outlineLevel="0" collapsed="false">
      <c r="B11" s="3" t="s">
        <v>310</v>
      </c>
      <c r="C11" s="26" t="s">
        <v>311</v>
      </c>
      <c r="D11" s="26"/>
      <c r="E11" s="26"/>
      <c r="F11" s="26"/>
      <c r="G11" s="26"/>
      <c r="H11" s="26"/>
    </row>
    <row r="14" customFormat="false" ht="21.75" hidden="false" customHeight="true" outlineLevel="0" collapsed="false">
      <c r="A14" s="5" t="s">
        <v>312</v>
      </c>
      <c r="B14" s="5"/>
      <c r="C14" s="5"/>
      <c r="D14" s="5"/>
      <c r="E14" s="5"/>
      <c r="F14" s="5"/>
      <c r="G14" s="5"/>
    </row>
    <row r="15" customFormat="false" ht="15" hidden="false" customHeight="true" outlineLevel="0" collapsed="false">
      <c r="B15" s="21" t="s">
        <v>176</v>
      </c>
      <c r="C15" s="21" t="s">
        <v>305</v>
      </c>
      <c r="D15" s="21" t="s">
        <v>306</v>
      </c>
    </row>
    <row r="16" customFormat="false" ht="15" hidden="false" customHeight="true" outlineLevel="0" collapsed="false">
      <c r="B16" s="32" t="s">
        <v>313</v>
      </c>
      <c r="C16" s="57" t="n">
        <v>1800</v>
      </c>
      <c r="D16" s="32"/>
    </row>
    <row r="17" customFormat="false" ht="15" hidden="false" customHeight="true" outlineLevel="0" collapsed="false">
      <c r="B17" s="32" t="s">
        <v>314</v>
      </c>
      <c r="C17" s="32"/>
      <c r="D17" s="57" t="n">
        <v>1800</v>
      </c>
    </row>
    <row r="18" customFormat="false" ht="15" hidden="false" customHeight="true" outlineLevel="0" collapsed="false">
      <c r="B18" s="3" t="s">
        <v>310</v>
      </c>
      <c r="C18" s="26" t="s">
        <v>315</v>
      </c>
      <c r="D18" s="26"/>
      <c r="E18" s="26"/>
      <c r="F18" s="26"/>
      <c r="G18" s="26"/>
      <c r="H18" s="26"/>
    </row>
    <row r="21" customFormat="false" ht="21.75" hidden="false" customHeight="true" outlineLevel="0" collapsed="false">
      <c r="A21" s="5" t="s">
        <v>316</v>
      </c>
      <c r="B21" s="5"/>
      <c r="C21" s="5"/>
      <c r="D21" s="5"/>
      <c r="E21" s="5"/>
      <c r="F21" s="5"/>
      <c r="G21" s="5"/>
    </row>
    <row r="22" customFormat="false" ht="15" hidden="false" customHeight="true" outlineLevel="0" collapsed="false">
      <c r="B22" s="21" t="s">
        <v>176</v>
      </c>
      <c r="C22" s="21" t="s">
        <v>305</v>
      </c>
      <c r="D22" s="21" t="s">
        <v>306</v>
      </c>
    </row>
    <row r="23" customFormat="false" ht="15" hidden="false" customHeight="true" outlineLevel="0" collapsed="false">
      <c r="B23" s="58" t="s">
        <v>317</v>
      </c>
      <c r="C23" s="59" t="n">
        <v>19333</v>
      </c>
      <c r="D23" s="58"/>
    </row>
    <row r="24" customFormat="false" ht="15" hidden="false" customHeight="true" outlineLevel="0" collapsed="false">
      <c r="B24" s="58" t="s">
        <v>318</v>
      </c>
      <c r="C24" s="58"/>
      <c r="D24" s="59" t="n">
        <v>19333</v>
      </c>
    </row>
    <row r="25" customFormat="false" ht="45.75" hidden="false" customHeight="true" outlineLevel="0" collapsed="false">
      <c r="B25" s="3" t="s">
        <v>310</v>
      </c>
      <c r="C25" s="20" t="s">
        <v>319</v>
      </c>
      <c r="D25" s="20"/>
      <c r="E25" s="20"/>
      <c r="F25" s="20"/>
      <c r="G25" s="20"/>
      <c r="H25" s="20"/>
    </row>
    <row r="28" customFormat="false" ht="21.75" hidden="false" customHeight="true" outlineLevel="0" collapsed="false">
      <c r="A28" s="5" t="s">
        <v>320</v>
      </c>
      <c r="B28" s="5"/>
      <c r="C28" s="5"/>
      <c r="D28" s="5"/>
      <c r="E28" s="5"/>
      <c r="F28" s="5"/>
      <c r="G28" s="5"/>
    </row>
    <row r="29" customFormat="false" ht="15" hidden="false" customHeight="true" outlineLevel="0" collapsed="false">
      <c r="B29" s="31" t="s">
        <v>321</v>
      </c>
      <c r="C29" s="31"/>
      <c r="D29" s="31"/>
      <c r="E29" s="31"/>
      <c r="F29" s="31"/>
      <c r="G29" s="31"/>
      <c r="H29" s="31"/>
    </row>
    <row r="30" customFormat="false" ht="15" hidden="false" customHeight="true" outlineLevel="0" collapsed="false">
      <c r="B30" s="31"/>
      <c r="C30" s="31"/>
      <c r="D30" s="31"/>
      <c r="E30" s="31"/>
      <c r="F30" s="31"/>
      <c r="G30" s="31"/>
      <c r="H30" s="31"/>
    </row>
    <row r="31" customFormat="false" ht="15" hidden="false" customHeight="true" outlineLevel="0" collapsed="false">
      <c r="B31" s="31"/>
      <c r="C31" s="31"/>
      <c r="D31" s="31"/>
      <c r="E31" s="31"/>
      <c r="F31" s="31"/>
      <c r="G31" s="31"/>
      <c r="H31" s="31"/>
    </row>
    <row r="33" customFormat="false" ht="21.75" hidden="false" customHeight="true" outlineLevel="0" collapsed="false">
      <c r="A33" s="5" t="s">
        <v>322</v>
      </c>
      <c r="B33" s="5"/>
      <c r="C33" s="5"/>
      <c r="D33" s="5"/>
      <c r="E33" s="5"/>
      <c r="F33" s="5"/>
      <c r="G33" s="5"/>
    </row>
    <row r="34" customFormat="false" ht="15" hidden="false" customHeight="true" outlineLevel="0" collapsed="false">
      <c r="B34" s="3" t="s">
        <v>323</v>
      </c>
      <c r="D34" s="60" t="n">
        <f aca="false">1800-966.66</f>
        <v>833.34</v>
      </c>
    </row>
    <row r="35" customFormat="false" ht="15" hidden="false" customHeight="true" outlineLevel="0" collapsed="false">
      <c r="B35" s="61" t="s">
        <v>324</v>
      </c>
    </row>
    <row r="38" customFormat="false" ht="21.75" hidden="false" customHeight="true" outlineLevel="0" collapsed="false">
      <c r="A38" s="5" t="s">
        <v>325</v>
      </c>
      <c r="B38" s="5"/>
      <c r="C38" s="5"/>
      <c r="D38" s="5"/>
      <c r="E38" s="5"/>
      <c r="F38" s="5"/>
      <c r="G38" s="5"/>
    </row>
    <row r="39" customFormat="false" ht="15" hidden="false" customHeight="true" outlineLevel="0" collapsed="false">
      <c r="B39" s="21" t="s">
        <v>176</v>
      </c>
      <c r="C39" s="21" t="s">
        <v>305</v>
      </c>
      <c r="D39" s="21" t="s">
        <v>306</v>
      </c>
    </row>
    <row r="40" customFormat="false" ht="15" hidden="false" customHeight="true" outlineLevel="0" collapsed="false">
      <c r="B40" s="35" t="s">
        <v>326</v>
      </c>
      <c r="C40" s="62" t="n">
        <v>3220</v>
      </c>
      <c r="D40" s="35"/>
    </row>
    <row r="41" customFormat="false" ht="15" hidden="false" customHeight="true" outlineLevel="0" collapsed="false">
      <c r="B41" s="35" t="s">
        <v>327</v>
      </c>
      <c r="C41" s="35"/>
      <c r="D41" s="62" t="n">
        <v>3220</v>
      </c>
    </row>
    <row r="42" customFormat="false" ht="68.25" hidden="false" customHeight="true" outlineLevel="0" collapsed="false">
      <c r="B42" s="3" t="s">
        <v>310</v>
      </c>
      <c r="C42" s="20" t="s">
        <v>328</v>
      </c>
      <c r="D42" s="20"/>
      <c r="E42" s="20"/>
      <c r="F42" s="20"/>
      <c r="G42" s="20"/>
      <c r="H42" s="20"/>
    </row>
    <row r="45" customFormat="false" ht="21.75" hidden="false" customHeight="true" outlineLevel="0" collapsed="false">
      <c r="A45" s="5" t="s">
        <v>329</v>
      </c>
      <c r="B45" s="5"/>
      <c r="C45" s="5"/>
      <c r="D45" s="5"/>
      <c r="E45" s="5"/>
      <c r="F45" s="5"/>
      <c r="G45" s="5"/>
    </row>
    <row r="46" customFormat="false" ht="15" hidden="false" customHeight="true" outlineLevel="0" collapsed="false">
      <c r="B46" s="21" t="s">
        <v>176</v>
      </c>
      <c r="C46" s="21" t="s">
        <v>305</v>
      </c>
      <c r="D46" s="21" t="s">
        <v>306</v>
      </c>
    </row>
    <row r="47" customFormat="false" ht="15" hidden="false" customHeight="true" outlineLevel="0" collapsed="false">
      <c r="B47" s="35" t="s">
        <v>330</v>
      </c>
      <c r="C47" s="62" t="n">
        <v>5000</v>
      </c>
      <c r="D47" s="35"/>
    </row>
    <row r="48" customFormat="false" ht="15" hidden="false" customHeight="true" outlineLevel="0" collapsed="false">
      <c r="B48" s="35" t="s">
        <v>327</v>
      </c>
      <c r="C48" s="62" t="n">
        <v>1150</v>
      </c>
      <c r="D48" s="35"/>
    </row>
    <row r="49" customFormat="false" ht="15" hidden="false" customHeight="true" outlineLevel="0" collapsed="false">
      <c r="B49" s="35" t="s">
        <v>326</v>
      </c>
      <c r="C49" s="35"/>
      <c r="D49" s="62" t="n">
        <v>6150</v>
      </c>
    </row>
    <row r="50" customFormat="false" ht="45.75" hidden="false" customHeight="true" outlineLevel="0" collapsed="false">
      <c r="B50" s="3" t="s">
        <v>310</v>
      </c>
      <c r="C50" s="20" t="s">
        <v>331</v>
      </c>
      <c r="D50" s="20"/>
      <c r="E50" s="20"/>
      <c r="F50" s="20"/>
      <c r="G50" s="20"/>
      <c r="H50" s="20"/>
    </row>
    <row r="53" customFormat="false" ht="21.75" hidden="false" customHeight="true" outlineLevel="0" collapsed="false">
      <c r="A53" s="5" t="s">
        <v>332</v>
      </c>
      <c r="B53" s="5"/>
      <c r="C53" s="5"/>
      <c r="D53" s="5"/>
      <c r="E53" s="5"/>
      <c r="F53" s="5"/>
      <c r="G53" s="5"/>
    </row>
    <row r="54" customFormat="false" ht="15" hidden="false" customHeight="true" outlineLevel="0" collapsed="false">
      <c r="B54" s="3" t="s">
        <v>333</v>
      </c>
      <c r="D54" s="60" t="n">
        <f aca="false">966.66*-1+1800-19333.33-5000</f>
        <v>-23499.99</v>
      </c>
    </row>
    <row r="55" customFormat="false" ht="15" hidden="false" customHeight="true" outlineLevel="0" collapsed="false">
      <c r="B55" s="3" t="s">
        <v>334</v>
      </c>
      <c r="D55" s="63" t="n">
        <f aca="false">328347+D54</f>
        <v>304847.01</v>
      </c>
    </row>
  </sheetData>
  <mergeCells count="16">
    <mergeCell ref="A2:G2"/>
    <mergeCell ref="B4:H4"/>
    <mergeCell ref="A6:G6"/>
    <mergeCell ref="C11:H11"/>
    <mergeCell ref="A14:G14"/>
    <mergeCell ref="C18:H18"/>
    <mergeCell ref="A21:G21"/>
    <mergeCell ref="C25:H25"/>
    <mergeCell ref="A28:G28"/>
    <mergeCell ref="B29:H31"/>
    <mergeCell ref="A33:G33"/>
    <mergeCell ref="A38:G38"/>
    <mergeCell ref="C42:H42"/>
    <mergeCell ref="A45:G45"/>
    <mergeCell ref="C50:H50"/>
    <mergeCell ref="A53: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16"/>
    <col collapsed="false" customWidth="true" hidden="false" outlineLevel="0" max="4" min="4" style="1" width="14"/>
    <col collapsed="false" customWidth="true" hidden="false" outlineLevel="0" max="5" min="5" style="1" width="10"/>
    <col collapsed="false" customWidth="true" hidden="false" outlineLevel="0" max="6" min="6" style="1" width="16"/>
  </cols>
  <sheetData>
    <row r="2" customFormat="false" ht="21.75" hidden="false" customHeight="true" outlineLevel="0" collapsed="false">
      <c r="A2" s="5" t="s">
        <v>335</v>
      </c>
      <c r="B2" s="5"/>
      <c r="C2" s="5"/>
      <c r="D2" s="5"/>
      <c r="E2" s="5"/>
      <c r="F2" s="5"/>
    </row>
    <row r="4" customFormat="false" ht="45" hidden="false" customHeight="true" outlineLevel="0" collapsed="false">
      <c r="B4" s="64" t="s">
        <v>336</v>
      </c>
      <c r="C4" s="64"/>
      <c r="D4" s="64"/>
      <c r="E4" s="64"/>
      <c r="F4" s="64"/>
      <c r="G4" s="64"/>
    </row>
    <row r="6" customFormat="false" ht="21.75" hidden="false" customHeight="true" outlineLevel="0" collapsed="false">
      <c r="A6" s="5" t="s">
        <v>337</v>
      </c>
      <c r="B6" s="5"/>
      <c r="C6" s="5"/>
      <c r="D6" s="5"/>
      <c r="E6" s="5"/>
      <c r="F6" s="5"/>
    </row>
    <row r="7" customFormat="false" ht="26.25" hidden="false" customHeight="true" outlineLevel="0" collapsed="false">
      <c r="B7" s="21" t="s">
        <v>338</v>
      </c>
      <c r="C7" s="21" t="s">
        <v>339</v>
      </c>
      <c r="D7" s="21" t="s">
        <v>340</v>
      </c>
      <c r="E7" s="21" t="s">
        <v>228</v>
      </c>
      <c r="F7" s="21" t="s">
        <v>341</v>
      </c>
    </row>
    <row r="8" customFormat="false" ht="15" hidden="false" customHeight="true" outlineLevel="0" collapsed="false">
      <c r="B8" s="32" t="s">
        <v>342</v>
      </c>
      <c r="C8" s="65" t="n">
        <v>684400</v>
      </c>
      <c r="D8" s="66"/>
      <c r="E8" s="32"/>
      <c r="F8" s="57" t="n">
        <f aca="false">C8+D8</f>
        <v>684400</v>
      </c>
    </row>
    <row r="9" customFormat="false" ht="15" hidden="false" customHeight="true" outlineLevel="0" collapsed="false">
      <c r="B9" s="32" t="s">
        <v>343</v>
      </c>
      <c r="C9" s="65" t="n">
        <v>-271700</v>
      </c>
      <c r="D9" s="66"/>
      <c r="E9" s="32"/>
      <c r="F9" s="57" t="n">
        <f aca="false">C9+D9</f>
        <v>-271700</v>
      </c>
    </row>
    <row r="10" customFormat="false" ht="15" hidden="false" customHeight="true" outlineLevel="0" collapsed="false">
      <c r="B10" s="67" t="s">
        <v>344</v>
      </c>
      <c r="C10" s="34" t="n">
        <f aca="false">C8+C9</f>
        <v>412700</v>
      </c>
      <c r="D10" s="66"/>
      <c r="E10" s="32"/>
      <c r="F10" s="34" t="n">
        <f aca="false">F8+F9</f>
        <v>412700</v>
      </c>
    </row>
    <row r="11" customFormat="false" ht="15" hidden="false" customHeight="true" outlineLevel="0" collapsed="false">
      <c r="B11" s="32" t="s">
        <v>345</v>
      </c>
      <c r="C11" s="65" t="n">
        <v>-84353</v>
      </c>
      <c r="D11" s="57" t="n">
        <v>1800</v>
      </c>
      <c r="E11" s="32" t="s">
        <v>346</v>
      </c>
      <c r="F11" s="57" t="n">
        <f aca="false">C11+D11</f>
        <v>-82553</v>
      </c>
    </row>
    <row r="12" customFormat="false" ht="15" hidden="false" customHeight="true" outlineLevel="0" collapsed="false">
      <c r="B12" s="32" t="s">
        <v>347</v>
      </c>
      <c r="C12" s="65" t="n">
        <v>0</v>
      </c>
      <c r="D12" s="57" t="n">
        <v>-966.66</v>
      </c>
      <c r="E12" s="32" t="s">
        <v>348</v>
      </c>
      <c r="F12" s="57" t="n">
        <f aca="false">C12+D12</f>
        <v>-966.66</v>
      </c>
    </row>
    <row r="13" customFormat="false" ht="15" hidden="false" customHeight="true" outlineLevel="0" collapsed="false">
      <c r="B13" s="67" t="s">
        <v>349</v>
      </c>
      <c r="C13" s="34" t="n">
        <f aca="false">C10+C11+C12</f>
        <v>328347</v>
      </c>
      <c r="D13" s="66"/>
      <c r="E13" s="32"/>
      <c r="F13" s="34" t="n">
        <f aca="false">F10+F11+F12</f>
        <v>329180.34</v>
      </c>
    </row>
    <row r="15" customFormat="false" ht="15" hidden="false" customHeight="true" outlineLevel="0" collapsed="false">
      <c r="B15" s="53" t="s">
        <v>350</v>
      </c>
      <c r="C15" s="53"/>
      <c r="D15" s="53"/>
      <c r="E15" s="53"/>
      <c r="F15" s="53"/>
    </row>
    <row r="16" customFormat="false" ht="15" hidden="false" customHeight="true" outlineLevel="0" collapsed="false">
      <c r="B16" s="53"/>
      <c r="C16" s="53"/>
      <c r="D16" s="53"/>
      <c r="E16" s="53"/>
      <c r="F16" s="53"/>
    </row>
    <row r="17" customFormat="false" ht="15" hidden="false" customHeight="true" outlineLevel="0" collapsed="false">
      <c r="B17" s="53"/>
      <c r="C17" s="53"/>
      <c r="D17" s="53"/>
      <c r="E17" s="53"/>
      <c r="F17" s="53"/>
    </row>
    <row r="19" customFormat="false" ht="21.75" hidden="false" customHeight="true" outlineLevel="0" collapsed="false">
      <c r="A19" s="5" t="s">
        <v>351</v>
      </c>
      <c r="B19" s="5"/>
      <c r="C19" s="5"/>
      <c r="D19" s="5"/>
      <c r="E19" s="5"/>
      <c r="F19" s="5"/>
    </row>
    <row r="20" customFormat="false" ht="15" hidden="false" customHeight="true" outlineLevel="0" collapsed="false">
      <c r="B20" s="31" t="s">
        <v>352</v>
      </c>
      <c r="C20" s="31"/>
      <c r="D20" s="31"/>
      <c r="E20" s="31"/>
      <c r="F20" s="31"/>
    </row>
    <row r="21" customFormat="false" ht="15" hidden="false" customHeight="true" outlineLevel="0" collapsed="false">
      <c r="B21" s="31"/>
      <c r="C21" s="31"/>
      <c r="D21" s="31"/>
      <c r="E21" s="31"/>
      <c r="F21" s="31"/>
    </row>
    <row r="22" customFormat="false" ht="15" hidden="false" customHeight="true" outlineLevel="0" collapsed="false">
      <c r="B22" s="31"/>
      <c r="C22" s="31"/>
      <c r="D22" s="31"/>
      <c r="E22" s="31"/>
      <c r="F22" s="31"/>
    </row>
    <row r="24" customFormat="false" ht="21.75" hidden="false" customHeight="true" outlineLevel="0" collapsed="false">
      <c r="A24" s="5" t="s">
        <v>353</v>
      </c>
      <c r="B24" s="5"/>
      <c r="C24" s="5"/>
      <c r="D24" s="5"/>
      <c r="E24" s="5"/>
      <c r="F24" s="5"/>
    </row>
    <row r="25" customFormat="false" ht="26.25" hidden="false" customHeight="true" outlineLevel="0" collapsed="false">
      <c r="B25" s="21" t="s">
        <v>338</v>
      </c>
      <c r="C25" s="21" t="s">
        <v>339</v>
      </c>
      <c r="D25" s="21" t="s">
        <v>340</v>
      </c>
      <c r="E25" s="21" t="s">
        <v>228</v>
      </c>
      <c r="F25" s="21" t="s">
        <v>341</v>
      </c>
    </row>
    <row r="26" customFormat="false" ht="15" hidden="false" customHeight="true" outlineLevel="0" collapsed="false">
      <c r="B26" s="32" t="s">
        <v>354</v>
      </c>
      <c r="C26" s="68" t="n">
        <v>590551</v>
      </c>
      <c r="D26" s="69"/>
      <c r="E26" s="32"/>
      <c r="F26" s="69" t="n">
        <v>590551</v>
      </c>
    </row>
    <row r="27" customFormat="false" ht="15" hidden="false" customHeight="true" outlineLevel="0" collapsed="false">
      <c r="B27" s="32" t="s">
        <v>355</v>
      </c>
      <c r="C27" s="68" t="n">
        <v>130427</v>
      </c>
      <c r="D27" s="69"/>
      <c r="E27" s="32"/>
      <c r="F27" s="69" t="n">
        <v>130427</v>
      </c>
    </row>
    <row r="28" customFormat="false" ht="15" hidden="false" customHeight="true" outlineLevel="0" collapsed="false">
      <c r="B28" s="32" t="s">
        <v>356</v>
      </c>
      <c r="C28" s="68" t="n">
        <v>25000</v>
      </c>
      <c r="D28" s="69"/>
      <c r="E28" s="32"/>
      <c r="F28" s="69" t="n">
        <v>25000</v>
      </c>
    </row>
    <row r="29" customFormat="false" ht="15" hidden="false" customHeight="true" outlineLevel="0" collapsed="false">
      <c r="B29" s="32" t="s">
        <v>357</v>
      </c>
      <c r="C29" s="68" t="n">
        <v>4000</v>
      </c>
      <c r="D29" s="69"/>
      <c r="E29" s="32"/>
      <c r="F29" s="69" t="n">
        <v>4000</v>
      </c>
    </row>
    <row r="30" customFormat="false" ht="15" hidden="false" customHeight="true" outlineLevel="0" collapsed="false">
      <c r="B30" s="32" t="s">
        <v>358</v>
      </c>
      <c r="C30" s="68" t="n">
        <v>0</v>
      </c>
      <c r="D30" s="69" t="n">
        <v>-833.33</v>
      </c>
      <c r="E30" s="32" t="s">
        <v>348</v>
      </c>
      <c r="F30" s="69" t="n">
        <v>-833.33</v>
      </c>
    </row>
    <row r="31" customFormat="false" ht="15" hidden="false" customHeight="true" outlineLevel="0" collapsed="false">
      <c r="B31" s="32" t="s">
        <v>359</v>
      </c>
      <c r="C31" s="68" t="n">
        <v>0</v>
      </c>
      <c r="D31" s="69" t="n">
        <v>-133.33</v>
      </c>
      <c r="E31" s="32" t="s">
        <v>348</v>
      </c>
      <c r="F31" s="69" t="n">
        <v>-133.33</v>
      </c>
    </row>
    <row r="32" customFormat="false" ht="15" hidden="false" customHeight="true" outlineLevel="0" collapsed="false">
      <c r="B32" s="32" t="s">
        <v>360</v>
      </c>
      <c r="C32" s="68" t="n">
        <v>0</v>
      </c>
      <c r="D32" s="69" t="n">
        <v>1800</v>
      </c>
      <c r="E32" s="32" t="s">
        <v>346</v>
      </c>
      <c r="F32" s="69" t="n">
        <v>1800</v>
      </c>
    </row>
    <row r="33" customFormat="false" ht="15" hidden="false" customHeight="true" outlineLevel="0" collapsed="false">
      <c r="B33" s="32" t="s">
        <v>361</v>
      </c>
      <c r="C33" s="68" t="n">
        <v>-380060.8</v>
      </c>
      <c r="D33" s="69"/>
      <c r="E33" s="32"/>
      <c r="F33" s="69" t="n">
        <v>-380060.8</v>
      </c>
    </row>
    <row r="34" customFormat="false" ht="15" hidden="false" customHeight="true" outlineLevel="0" collapsed="false">
      <c r="B34" s="32" t="s">
        <v>362</v>
      </c>
      <c r="C34" s="68" t="n">
        <v>-41570.2</v>
      </c>
      <c r="D34" s="69"/>
      <c r="E34" s="32"/>
      <c r="F34" s="69" t="n">
        <v>-41570.2</v>
      </c>
    </row>
    <row r="36" customFormat="false" ht="15" hidden="false" customHeight="true" outlineLevel="0" collapsed="false">
      <c r="B36" s="42" t="s">
        <v>363</v>
      </c>
      <c r="C36" s="42"/>
      <c r="D36" s="42"/>
      <c r="E36" s="42"/>
      <c r="F36" s="60" t="n">
        <f aca="false">1800-833.33-133.33</f>
        <v>833.34</v>
      </c>
    </row>
    <row r="38" customFormat="false" ht="15" hidden="false" customHeight="true" outlineLevel="0" collapsed="false">
      <c r="B38" s="53" t="s">
        <v>364</v>
      </c>
      <c r="C38" s="53"/>
      <c r="D38" s="53"/>
      <c r="E38" s="53"/>
      <c r="F38" s="53"/>
    </row>
    <row r="39" customFormat="false" ht="15" hidden="false" customHeight="true" outlineLevel="0" collapsed="false">
      <c r="B39" s="53"/>
      <c r="C39" s="53"/>
      <c r="D39" s="53"/>
      <c r="E39" s="53"/>
      <c r="F39" s="53"/>
    </row>
    <row r="40" customFormat="false" ht="15" hidden="false" customHeight="true" outlineLevel="0" collapsed="false">
      <c r="B40" s="53"/>
      <c r="C40" s="53"/>
      <c r="D40" s="53"/>
      <c r="E40" s="53"/>
      <c r="F40" s="53"/>
    </row>
    <row r="41" customFormat="false" ht="15" hidden="false" customHeight="true" outlineLevel="0" collapsed="false">
      <c r="B41" s="53"/>
      <c r="C41" s="53"/>
      <c r="D41" s="53"/>
      <c r="E41" s="53"/>
      <c r="F41" s="53"/>
    </row>
    <row r="44" customFormat="false" ht="21.75" hidden="false" customHeight="true" outlineLevel="0" collapsed="false">
      <c r="A44" s="70" t="s">
        <v>365</v>
      </c>
      <c r="B44" s="70"/>
      <c r="C44" s="70"/>
      <c r="D44" s="70"/>
      <c r="E44" s="70"/>
      <c r="F44" s="70"/>
    </row>
    <row r="45" customFormat="false" ht="15" hidden="false" customHeight="true" outlineLevel="0" collapsed="false">
      <c r="B45" s="71" t="s">
        <v>366</v>
      </c>
      <c r="C45" s="71"/>
      <c r="D45" s="71"/>
      <c r="E45" s="71"/>
      <c r="F45" s="71"/>
    </row>
    <row r="46" customFormat="false" ht="15" hidden="false" customHeight="true" outlineLevel="0" collapsed="false">
      <c r="B46" s="71"/>
      <c r="C46" s="71"/>
      <c r="D46" s="71"/>
      <c r="E46" s="71"/>
      <c r="F46" s="71"/>
    </row>
    <row r="47" customFormat="false" ht="15" hidden="false" customHeight="true" outlineLevel="0" collapsed="false">
      <c r="B47" s="71"/>
      <c r="C47" s="71"/>
      <c r="D47" s="71"/>
      <c r="E47" s="71"/>
      <c r="F47" s="71"/>
    </row>
    <row r="49" customFormat="false" ht="21.75" hidden="false" customHeight="true" outlineLevel="0" collapsed="false">
      <c r="A49" s="70" t="s">
        <v>367</v>
      </c>
      <c r="B49" s="70"/>
      <c r="C49" s="70"/>
      <c r="D49" s="70"/>
      <c r="E49" s="70"/>
      <c r="F49" s="70"/>
    </row>
    <row r="50" customFormat="false" ht="26.25" hidden="false" customHeight="true" outlineLevel="0" collapsed="false">
      <c r="B50" s="21" t="s">
        <v>338</v>
      </c>
      <c r="C50" s="21" t="s">
        <v>339</v>
      </c>
      <c r="D50" s="21" t="s">
        <v>340</v>
      </c>
      <c r="E50" s="21" t="s">
        <v>368</v>
      </c>
      <c r="F50" s="21" t="s">
        <v>341</v>
      </c>
    </row>
    <row r="51" customFormat="false" ht="15" hidden="false" customHeight="true" outlineLevel="0" collapsed="false">
      <c r="B51" s="32" t="s">
        <v>369</v>
      </c>
      <c r="C51" s="68" t="n">
        <v>172700</v>
      </c>
      <c r="D51" s="66"/>
      <c r="E51" s="32"/>
      <c r="F51" s="57" t="n">
        <f aca="false">C51+D51</f>
        <v>172700</v>
      </c>
    </row>
    <row r="52" customFormat="false" ht="15" hidden="false" customHeight="true" outlineLevel="0" collapsed="false">
      <c r="B52" s="32" t="s">
        <v>370</v>
      </c>
      <c r="C52" s="68" t="n">
        <v>491700</v>
      </c>
      <c r="D52" s="57" t="n">
        <v>-5000</v>
      </c>
      <c r="E52" s="32" t="s">
        <v>292</v>
      </c>
      <c r="F52" s="57" t="n">
        <f aca="false">C52+D52</f>
        <v>486700</v>
      </c>
    </row>
    <row r="53" customFormat="false" ht="15" hidden="false" customHeight="true" outlineLevel="0" collapsed="false">
      <c r="B53" s="32" t="s">
        <v>371</v>
      </c>
      <c r="C53" s="68" t="n">
        <v>20000</v>
      </c>
      <c r="D53" s="57" t="n">
        <v>-19333.33</v>
      </c>
      <c r="E53" s="32" t="s">
        <v>283</v>
      </c>
      <c r="F53" s="57" t="n">
        <f aca="false">C53+D53</f>
        <v>666.669999999998</v>
      </c>
    </row>
    <row r="54" customFormat="false" ht="15" hidden="false" customHeight="true" outlineLevel="0" collapsed="false">
      <c r="B54" s="67" t="s">
        <v>342</v>
      </c>
      <c r="C54" s="34" t="n">
        <f aca="false">C51+C52+C53</f>
        <v>684400</v>
      </c>
      <c r="D54" s="66"/>
      <c r="E54" s="32"/>
      <c r="F54" s="34" t="n">
        <f aca="false">F51+F52+F53</f>
        <v>660066.67</v>
      </c>
    </row>
    <row r="55" customFormat="false" ht="15" hidden="false" customHeight="true" outlineLevel="0" collapsed="false">
      <c r="B55" s="67" t="s">
        <v>343</v>
      </c>
      <c r="C55" s="68" t="n">
        <v>-271700</v>
      </c>
      <c r="D55" s="66"/>
      <c r="E55" s="32"/>
      <c r="F55" s="57" t="n">
        <f aca="false">C55+D55</f>
        <v>-271700</v>
      </c>
    </row>
    <row r="56" customFormat="false" ht="15" hidden="false" customHeight="true" outlineLevel="0" collapsed="false">
      <c r="B56" s="67" t="s">
        <v>344</v>
      </c>
      <c r="C56" s="34" t="n">
        <f aca="false">C54+C55</f>
        <v>412700</v>
      </c>
      <c r="D56" s="66"/>
      <c r="E56" s="32"/>
      <c r="F56" s="34" t="n">
        <f aca="false">F54+F55</f>
        <v>388366.67</v>
      </c>
    </row>
    <row r="57" customFormat="false" ht="15" hidden="false" customHeight="true" outlineLevel="0" collapsed="false">
      <c r="B57" s="67" t="s">
        <v>345</v>
      </c>
      <c r="C57" s="68" t="n">
        <v>-84353</v>
      </c>
      <c r="D57" s="57" t="n">
        <v>1800</v>
      </c>
      <c r="E57" s="32" t="s">
        <v>346</v>
      </c>
      <c r="F57" s="57" t="n">
        <f aca="false">C57+D57</f>
        <v>-82553</v>
      </c>
    </row>
    <row r="58" customFormat="false" ht="15" hidden="false" customHeight="true" outlineLevel="0" collapsed="false">
      <c r="B58" s="32" t="s">
        <v>347</v>
      </c>
      <c r="C58" s="68" t="n">
        <v>0</v>
      </c>
      <c r="D58" s="57" t="n">
        <v>-966.66</v>
      </c>
      <c r="E58" s="32" t="s">
        <v>348</v>
      </c>
      <c r="F58" s="57" t="n">
        <f aca="false">C58+D58</f>
        <v>-966.66</v>
      </c>
    </row>
    <row r="59" customFormat="false" ht="15" hidden="false" customHeight="true" outlineLevel="0" collapsed="false">
      <c r="B59" s="67" t="s">
        <v>349</v>
      </c>
      <c r="C59" s="34" t="n">
        <f aca="false">C56+C57+C58</f>
        <v>328347</v>
      </c>
      <c r="D59" s="66"/>
      <c r="E59" s="32"/>
      <c r="F59" s="34" t="n">
        <f aca="false">F56+F57+F58</f>
        <v>304847.01</v>
      </c>
    </row>
    <row r="61" customFormat="false" ht="21.75" hidden="false" customHeight="true" outlineLevel="0" collapsed="false">
      <c r="A61" s="70" t="s">
        <v>372</v>
      </c>
      <c r="B61" s="70"/>
      <c r="C61" s="70"/>
      <c r="D61" s="70"/>
      <c r="E61" s="70"/>
      <c r="F61" s="70"/>
    </row>
    <row r="62" customFormat="false" ht="26.25" hidden="false" customHeight="true" outlineLevel="0" collapsed="false">
      <c r="B62" s="21" t="s">
        <v>338</v>
      </c>
      <c r="C62" s="21" t="s">
        <v>339</v>
      </c>
      <c r="D62" s="21" t="s">
        <v>340</v>
      </c>
      <c r="E62" s="21" t="s">
        <v>368</v>
      </c>
      <c r="F62" s="21" t="s">
        <v>341</v>
      </c>
    </row>
    <row r="63" customFormat="false" ht="15" hidden="false" customHeight="true" outlineLevel="0" collapsed="false">
      <c r="B63" s="32" t="s">
        <v>354</v>
      </c>
      <c r="C63" s="68" t="n">
        <v>590551</v>
      </c>
      <c r="D63" s="66"/>
      <c r="E63" s="72"/>
      <c r="F63" s="69" t="n">
        <f aca="false">C63+D63</f>
        <v>590551</v>
      </c>
    </row>
    <row r="64" customFormat="false" ht="15" hidden="false" customHeight="true" outlineLevel="0" collapsed="false">
      <c r="B64" s="32" t="s">
        <v>355</v>
      </c>
      <c r="C64" s="68" t="n">
        <v>130427</v>
      </c>
      <c r="D64" s="69" t="n">
        <v>-2930</v>
      </c>
      <c r="E64" s="72" t="s">
        <v>373</v>
      </c>
      <c r="F64" s="69" t="n">
        <f aca="false">C64+D64</f>
        <v>127497</v>
      </c>
    </row>
    <row r="65" customFormat="false" ht="15" hidden="false" customHeight="true" outlineLevel="0" collapsed="false">
      <c r="B65" s="32" t="s">
        <v>356</v>
      </c>
      <c r="C65" s="68" t="n">
        <v>25000</v>
      </c>
      <c r="D65" s="66"/>
      <c r="E65" s="72"/>
      <c r="F65" s="69" t="n">
        <f aca="false">C65+D65</f>
        <v>25000</v>
      </c>
    </row>
    <row r="66" customFormat="false" ht="15" hidden="false" customHeight="true" outlineLevel="0" collapsed="false">
      <c r="B66" s="32" t="s">
        <v>357</v>
      </c>
      <c r="C66" s="68" t="n">
        <v>4000</v>
      </c>
      <c r="D66" s="66"/>
      <c r="E66" s="72"/>
      <c r="F66" s="69" t="n">
        <f aca="false">C66+D66</f>
        <v>4000</v>
      </c>
    </row>
    <row r="67" customFormat="false" ht="15" hidden="false" customHeight="true" outlineLevel="0" collapsed="false">
      <c r="B67" s="32" t="s">
        <v>360</v>
      </c>
      <c r="C67" s="68" t="n">
        <v>0</v>
      </c>
      <c r="D67" s="69" t="n">
        <v>1800</v>
      </c>
      <c r="E67" s="72" t="s">
        <v>346</v>
      </c>
      <c r="F67" s="69" t="n">
        <f aca="false">C67+D67</f>
        <v>1800</v>
      </c>
    </row>
    <row r="68" customFormat="false" ht="15" hidden="false" customHeight="true" outlineLevel="0" collapsed="false">
      <c r="B68" s="32" t="s">
        <v>358</v>
      </c>
      <c r="C68" s="68" t="n">
        <v>0</v>
      </c>
      <c r="D68" s="69" t="n">
        <v>-833.33</v>
      </c>
      <c r="E68" s="72" t="s">
        <v>348</v>
      </c>
      <c r="F68" s="69" t="n">
        <f aca="false">C68+D68</f>
        <v>-833.33</v>
      </c>
    </row>
    <row r="69" customFormat="false" ht="15" hidden="false" customHeight="true" outlineLevel="0" collapsed="false">
      <c r="B69" s="32" t="s">
        <v>359</v>
      </c>
      <c r="C69" s="68" t="n">
        <v>0</v>
      </c>
      <c r="D69" s="69" t="n">
        <v>-133.33</v>
      </c>
      <c r="E69" s="72" t="s">
        <v>348</v>
      </c>
      <c r="F69" s="69" t="n">
        <f aca="false">C69+D69</f>
        <v>-133.33</v>
      </c>
    </row>
    <row r="70" customFormat="false" ht="15" hidden="false" customHeight="true" outlineLevel="0" collapsed="false">
      <c r="B70" s="32" t="s">
        <v>361</v>
      </c>
      <c r="C70" s="68" t="n">
        <v>-380060.8</v>
      </c>
      <c r="D70" s="66"/>
      <c r="E70" s="72" t="s">
        <v>374</v>
      </c>
      <c r="F70" s="69" t="n">
        <f aca="false">C70+D70</f>
        <v>-380060.8</v>
      </c>
    </row>
    <row r="71" customFormat="false" ht="15" hidden="false" customHeight="true" outlineLevel="0" collapsed="false">
      <c r="B71" s="32" t="s">
        <v>375</v>
      </c>
      <c r="C71" s="68" t="n">
        <v>-41570.2</v>
      </c>
      <c r="D71" s="69" t="n">
        <v>-2070</v>
      </c>
      <c r="E71" s="72" t="s">
        <v>376</v>
      </c>
      <c r="F71" s="69" t="n">
        <f aca="false">C71+D71</f>
        <v>-43640.2</v>
      </c>
    </row>
    <row r="72" customFormat="false" ht="15" hidden="false" customHeight="true" outlineLevel="0" collapsed="false">
      <c r="B72" s="32" t="s">
        <v>377</v>
      </c>
      <c r="C72" s="68" t="n">
        <v>0</v>
      </c>
      <c r="D72" s="69" t="n">
        <v>-19333.33</v>
      </c>
      <c r="E72" s="72" t="s">
        <v>283</v>
      </c>
      <c r="F72" s="69" t="n">
        <f aca="false">C72+D72</f>
        <v>-19333.33</v>
      </c>
    </row>
    <row r="74" customFormat="false" ht="15" hidden="false" customHeight="true" outlineLevel="0" collapsed="false">
      <c r="B74" s="42" t="s">
        <v>378</v>
      </c>
      <c r="C74" s="42"/>
      <c r="D74" s="42"/>
      <c r="E74" s="42"/>
      <c r="F74" s="63" t="n">
        <f aca="false">SUM(D64:D73)</f>
        <v>-23499.99</v>
      </c>
    </row>
    <row r="76" customFormat="false" ht="15" hidden="false" customHeight="true" outlineLevel="0" collapsed="false">
      <c r="B76" s="73" t="s">
        <v>379</v>
      </c>
      <c r="C76" s="73"/>
      <c r="D76" s="73"/>
      <c r="E76" s="73"/>
      <c r="F76" s="74" t="n">
        <f aca="false">F59-C59</f>
        <v>-23499.9899999999</v>
      </c>
    </row>
    <row r="79" customFormat="false" ht="21.75" hidden="false" customHeight="true" outlineLevel="0" collapsed="false">
      <c r="A79" s="54" t="s">
        <v>380</v>
      </c>
      <c r="B79" s="54"/>
      <c r="C79" s="54"/>
      <c r="D79" s="54"/>
      <c r="E79" s="54"/>
      <c r="F79" s="54"/>
    </row>
    <row r="80" customFormat="false" ht="15" hidden="false" customHeight="true" outlineLevel="0" collapsed="false">
      <c r="B80" s="75" t="s">
        <v>381</v>
      </c>
      <c r="C80" s="75"/>
      <c r="D80" s="75"/>
      <c r="E80" s="75"/>
      <c r="F80" s="75"/>
    </row>
    <row r="81" customFormat="false" ht="15" hidden="false" customHeight="true" outlineLevel="0" collapsed="false">
      <c r="B81" s="75"/>
      <c r="C81" s="75"/>
      <c r="D81" s="75"/>
      <c r="E81" s="75"/>
      <c r="F81" s="75"/>
    </row>
    <row r="82" customFormat="false" ht="15" hidden="false" customHeight="true" outlineLevel="0" collapsed="false">
      <c r="B82" s="75"/>
      <c r="C82" s="75"/>
      <c r="D82" s="75"/>
      <c r="E82" s="75"/>
      <c r="F82" s="75"/>
    </row>
    <row r="84" customFormat="false" ht="21.75" hidden="false" customHeight="true" outlineLevel="0" collapsed="false">
      <c r="A84" s="54" t="s">
        <v>382</v>
      </c>
      <c r="B84" s="54"/>
      <c r="C84" s="54"/>
      <c r="D84" s="54"/>
      <c r="E84" s="54"/>
      <c r="F84" s="54"/>
    </row>
    <row r="85" customFormat="false" ht="15" hidden="false" customHeight="true" outlineLevel="0" collapsed="false">
      <c r="B85" s="21" t="s">
        <v>338</v>
      </c>
      <c r="C85" s="21" t="s">
        <v>70</v>
      </c>
    </row>
    <row r="86" customFormat="false" ht="15" hidden="false" customHeight="true" outlineLevel="0" collapsed="false">
      <c r="B86" s="76" t="s">
        <v>370</v>
      </c>
      <c r="C86" s="33" t="n">
        <v>486700</v>
      </c>
    </row>
    <row r="87" customFormat="false" ht="15" hidden="false" customHeight="true" outlineLevel="0" collapsed="false">
      <c r="B87" s="76" t="s">
        <v>369</v>
      </c>
      <c r="C87" s="33" t="n">
        <v>172700</v>
      </c>
    </row>
    <row r="88" customFormat="false" ht="15" hidden="false" customHeight="true" outlineLevel="0" collapsed="false">
      <c r="B88" s="76" t="s">
        <v>371</v>
      </c>
      <c r="C88" s="33" t="n">
        <v>666.67</v>
      </c>
    </row>
    <row r="89" customFormat="false" ht="15" hidden="false" customHeight="true" outlineLevel="0" collapsed="false">
      <c r="B89" s="77" t="s">
        <v>342</v>
      </c>
      <c r="C89" s="36" t="n">
        <v>660066.67</v>
      </c>
    </row>
    <row r="90" customFormat="false" ht="15" hidden="false" customHeight="true" outlineLevel="0" collapsed="false">
      <c r="B90" s="77" t="s">
        <v>343</v>
      </c>
      <c r="C90" s="36" t="n">
        <v>-249100</v>
      </c>
    </row>
    <row r="91" customFormat="false" ht="15" hidden="false" customHeight="true" outlineLevel="0" collapsed="false">
      <c r="B91" s="77" t="s">
        <v>344</v>
      </c>
      <c r="C91" s="36" t="n">
        <v>410966.67</v>
      </c>
    </row>
    <row r="92" customFormat="false" ht="15" hidden="false" customHeight="true" outlineLevel="0" collapsed="false">
      <c r="B92" s="77" t="s">
        <v>383</v>
      </c>
      <c r="C92" s="36" t="n">
        <v>-89884.66</v>
      </c>
    </row>
    <row r="93" customFormat="false" ht="15" hidden="false" customHeight="true" outlineLevel="0" collapsed="false">
      <c r="B93" s="77" t="s">
        <v>349</v>
      </c>
      <c r="C93" s="36" t="n">
        <v>321082.01</v>
      </c>
    </row>
    <row r="95" customFormat="false" ht="21.75" hidden="false" customHeight="true" outlineLevel="0" collapsed="false">
      <c r="A95" s="54" t="s">
        <v>384</v>
      </c>
      <c r="B95" s="54"/>
      <c r="C95" s="54"/>
      <c r="D95" s="54"/>
      <c r="E95" s="54"/>
      <c r="F95" s="54"/>
    </row>
    <row r="96" customFormat="false" ht="15" hidden="false" customHeight="true" outlineLevel="0" collapsed="false">
      <c r="B96" s="21" t="s">
        <v>338</v>
      </c>
      <c r="C96" s="21" t="s">
        <v>70</v>
      </c>
    </row>
    <row r="97" customFormat="false" ht="15" hidden="false" customHeight="true" outlineLevel="0" collapsed="false">
      <c r="B97" s="76" t="s">
        <v>354</v>
      </c>
      <c r="C97" s="33" t="n">
        <v>514233</v>
      </c>
    </row>
    <row r="98" customFormat="false" ht="15" hidden="false" customHeight="true" outlineLevel="0" collapsed="false">
      <c r="B98" s="76" t="s">
        <v>385</v>
      </c>
      <c r="C98" s="33" t="n">
        <v>102737</v>
      </c>
    </row>
    <row r="99" customFormat="false" ht="15" hidden="false" customHeight="true" outlineLevel="0" collapsed="false">
      <c r="B99" s="76" t="s">
        <v>386</v>
      </c>
      <c r="C99" s="33" t="n">
        <v>29833.34</v>
      </c>
    </row>
    <row r="100" customFormat="false" ht="15" hidden="false" customHeight="true" outlineLevel="0" collapsed="false">
      <c r="B100" s="77" t="s">
        <v>387</v>
      </c>
      <c r="C100" s="36" t="n">
        <v>646803.34</v>
      </c>
    </row>
    <row r="101" customFormat="false" ht="15" hidden="false" customHeight="true" outlineLevel="0" collapsed="false">
      <c r="B101" s="76" t="s">
        <v>361</v>
      </c>
      <c r="C101" s="33" t="n">
        <v>-269603.8</v>
      </c>
    </row>
    <row r="102" customFormat="false" ht="15" hidden="false" customHeight="true" outlineLevel="0" collapsed="false">
      <c r="B102" s="76" t="s">
        <v>388</v>
      </c>
      <c r="C102" s="33" t="n">
        <v>12054</v>
      </c>
    </row>
    <row r="103" customFormat="false" ht="15" hidden="false" customHeight="true" outlineLevel="0" collapsed="false">
      <c r="B103" s="76" t="s">
        <v>389</v>
      </c>
      <c r="C103" s="33" t="n">
        <v>-19333.33</v>
      </c>
    </row>
    <row r="104" customFormat="false" ht="15" hidden="false" customHeight="true" outlineLevel="0" collapsed="false">
      <c r="B104" s="76" t="s">
        <v>375</v>
      </c>
      <c r="C104" s="33" t="n">
        <v>-48838.2</v>
      </c>
    </row>
    <row r="105" customFormat="false" ht="15" hidden="false" customHeight="true" outlineLevel="0" collapsed="false">
      <c r="B105" s="77" t="s">
        <v>390</v>
      </c>
      <c r="C105" s="36" t="n">
        <v>-325721.33</v>
      </c>
    </row>
    <row r="106" customFormat="false" ht="15" hidden="false" customHeight="true" outlineLevel="0" collapsed="false">
      <c r="B106" s="77" t="s">
        <v>391</v>
      </c>
      <c r="C106" s="36" t="n">
        <v>321082.01</v>
      </c>
    </row>
    <row r="108" customFormat="false" ht="21.75" hidden="false" customHeight="true" outlineLevel="0" collapsed="false">
      <c r="A108" s="54" t="s">
        <v>392</v>
      </c>
      <c r="B108" s="54"/>
      <c r="C108" s="54"/>
      <c r="D108" s="54"/>
      <c r="E108" s="54"/>
      <c r="F108" s="54"/>
    </row>
    <row r="109" customFormat="false" ht="15" hidden="false" customHeight="true" outlineLevel="0" collapsed="false">
      <c r="B109" s="21" t="s">
        <v>44</v>
      </c>
      <c r="C109" s="21" t="s">
        <v>70</v>
      </c>
    </row>
    <row r="110" customFormat="false" ht="15" hidden="false" customHeight="true" outlineLevel="0" collapsed="false">
      <c r="B110" s="24" t="s">
        <v>393</v>
      </c>
      <c r="C110" s="36" t="n">
        <v>304847.01</v>
      </c>
    </row>
    <row r="111" customFormat="false" ht="30" hidden="false" customHeight="true" outlineLevel="0" collapsed="false">
      <c r="B111" s="78" t="s">
        <v>394</v>
      </c>
      <c r="C111" s="33" t="n">
        <v>22600</v>
      </c>
    </row>
    <row r="112" customFormat="false" ht="30" hidden="false" customHeight="true" outlineLevel="0" collapsed="false">
      <c r="B112" s="78" t="s">
        <v>395</v>
      </c>
      <c r="C112" s="33" t="n">
        <v>-6365</v>
      </c>
    </row>
    <row r="113" customFormat="false" ht="15" hidden="false" customHeight="true" outlineLevel="0" collapsed="false">
      <c r="B113" s="24" t="s">
        <v>396</v>
      </c>
      <c r="C113" s="36" t="n">
        <v>321082.01</v>
      </c>
    </row>
    <row r="115" customFormat="false" ht="15" hidden="false" customHeight="true" outlineLevel="0" collapsed="false">
      <c r="B115" s="71" t="s">
        <v>397</v>
      </c>
      <c r="C115" s="71"/>
      <c r="D115" s="71"/>
      <c r="E115" s="71"/>
      <c r="F115" s="71"/>
    </row>
    <row r="116" customFormat="false" ht="15" hidden="false" customHeight="true" outlineLevel="0" collapsed="false">
      <c r="B116" s="71"/>
      <c r="C116" s="71"/>
      <c r="D116" s="71"/>
      <c r="E116" s="71"/>
      <c r="F116" s="71"/>
    </row>
    <row r="117" customFormat="false" ht="15" hidden="false" customHeight="true" outlineLevel="0" collapsed="false">
      <c r="B117" s="71"/>
      <c r="C117" s="71"/>
      <c r="D117" s="71"/>
      <c r="E117" s="71"/>
      <c r="F117" s="71"/>
    </row>
    <row r="118" customFormat="false" ht="15" hidden="false" customHeight="true" outlineLevel="0" collapsed="false">
      <c r="B118" s="71"/>
      <c r="C118" s="71"/>
      <c r="D118" s="71"/>
      <c r="E118" s="71"/>
      <c r="F118" s="71"/>
    </row>
  </sheetData>
  <mergeCells count="21">
    <mergeCell ref="A2:F2"/>
    <mergeCell ref="B4:G4"/>
    <mergeCell ref="A6:F6"/>
    <mergeCell ref="B15:F17"/>
    <mergeCell ref="A19:F19"/>
    <mergeCell ref="B20:F22"/>
    <mergeCell ref="A24:F24"/>
    <mergeCell ref="B36:E36"/>
    <mergeCell ref="B38:F41"/>
    <mergeCell ref="A44:F44"/>
    <mergeCell ref="B45:F47"/>
    <mergeCell ref="A49:F49"/>
    <mergeCell ref="A61:F61"/>
    <mergeCell ref="B74:E74"/>
    <mergeCell ref="B76:E76"/>
    <mergeCell ref="A79:F79"/>
    <mergeCell ref="B80:F82"/>
    <mergeCell ref="A84:F84"/>
    <mergeCell ref="A95:F95"/>
    <mergeCell ref="A108:F108"/>
    <mergeCell ref="B115:F1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45"/>
    <col collapsed="false" customWidth="true" hidden="false" outlineLevel="0" max="4" min="4" style="0" width="14"/>
    <col collapsed="false" customWidth="true" hidden="false" outlineLevel="0" max="5" min="5" style="0" width="22"/>
    <col collapsed="false" customWidth="true" hidden="false" outlineLevel="0" max="6" min="6" style="0" width="30"/>
    <col collapsed="false" customWidth="true" hidden="false" outlineLevel="0" max="7" min="7" style="0" width="12"/>
  </cols>
  <sheetData>
    <row r="2" customFormat="false" ht="21.75" hidden="false" customHeight="true" outlineLevel="0" collapsed="false">
      <c r="A2" s="79" t="s">
        <v>398</v>
      </c>
      <c r="B2" s="79"/>
      <c r="C2" s="79"/>
      <c r="D2" s="79"/>
      <c r="E2" s="79"/>
      <c r="F2" s="79"/>
      <c r="G2" s="79"/>
      <c r="H2" s="79"/>
    </row>
    <row r="4" customFormat="false" ht="15" hidden="false" customHeight="true" outlineLevel="0" collapsed="false">
      <c r="B4" s="71" t="s">
        <v>399</v>
      </c>
      <c r="C4" s="71"/>
      <c r="D4" s="71"/>
      <c r="E4" s="71"/>
      <c r="F4" s="71"/>
      <c r="G4" s="71"/>
      <c r="H4" s="71"/>
      <c r="I4" s="71"/>
    </row>
    <row r="5" customFormat="false" ht="15" hidden="false" customHeight="false" outlineLevel="0" collapsed="false">
      <c r="B5" s="71"/>
      <c r="C5" s="71"/>
      <c r="D5" s="71"/>
      <c r="E5" s="71"/>
      <c r="F5" s="71"/>
      <c r="G5" s="71"/>
      <c r="H5" s="71"/>
      <c r="I5" s="71"/>
    </row>
    <row r="6" customFormat="false" ht="15" hidden="false" customHeight="false" outlineLevel="0" collapsed="false">
      <c r="B6" s="71"/>
      <c r="C6" s="71"/>
      <c r="D6" s="71"/>
      <c r="E6" s="71"/>
      <c r="F6" s="71"/>
      <c r="G6" s="71"/>
      <c r="H6" s="71"/>
      <c r="I6" s="71"/>
    </row>
    <row r="7" customFormat="false" ht="15" hidden="false" customHeight="false" outlineLevel="0" collapsed="false">
      <c r="B7" s="71"/>
      <c r="C7" s="71"/>
      <c r="D7" s="71"/>
      <c r="E7" s="71"/>
      <c r="F7" s="71"/>
      <c r="G7" s="71"/>
      <c r="H7" s="71"/>
      <c r="I7" s="71"/>
    </row>
    <row r="9" customFormat="false" ht="21.75" hidden="false" customHeight="true" outlineLevel="0" collapsed="false">
      <c r="A9" s="79" t="s">
        <v>400</v>
      </c>
      <c r="B9" s="79"/>
      <c r="C9" s="79"/>
      <c r="D9" s="79"/>
      <c r="E9" s="79"/>
      <c r="F9" s="79"/>
      <c r="G9" s="79"/>
      <c r="H9" s="79"/>
    </row>
    <row r="10" customFormat="false" ht="15" hidden="false" customHeight="false" outlineLevel="0" collapsed="false">
      <c r="B10" s="21" t="s">
        <v>228</v>
      </c>
      <c r="C10" s="21" t="s">
        <v>230</v>
      </c>
      <c r="D10" s="21" t="s">
        <v>70</v>
      </c>
      <c r="E10" s="21" t="s">
        <v>401</v>
      </c>
      <c r="F10" s="21" t="s">
        <v>232</v>
      </c>
      <c r="G10" s="21" t="s">
        <v>280</v>
      </c>
    </row>
    <row r="11" customFormat="false" ht="99.75" hidden="false" customHeight="true" outlineLevel="0" collapsed="false">
      <c r="B11" s="22" t="s">
        <v>402</v>
      </c>
      <c r="C11" s="22" t="s">
        <v>403</v>
      </c>
      <c r="D11" s="80" t="n">
        <v>50500</v>
      </c>
      <c r="E11" s="22" t="s">
        <v>404</v>
      </c>
      <c r="F11" s="22" t="s">
        <v>405</v>
      </c>
      <c r="G11" s="22" t="s">
        <v>406</v>
      </c>
    </row>
    <row r="12" customFormat="false" ht="99.75" hidden="false" customHeight="true" outlineLevel="0" collapsed="false">
      <c r="B12" s="22" t="s">
        <v>407</v>
      </c>
      <c r="C12" s="22" t="s">
        <v>408</v>
      </c>
      <c r="D12" s="80" t="n">
        <v>22400</v>
      </c>
      <c r="E12" s="22" t="s">
        <v>409</v>
      </c>
      <c r="F12" s="22" t="s">
        <v>410</v>
      </c>
      <c r="G12" s="22" t="s">
        <v>411</v>
      </c>
    </row>
    <row r="13" customFormat="false" ht="99.75" hidden="false" customHeight="true" outlineLevel="0" collapsed="false">
      <c r="B13" s="51" t="s">
        <v>412</v>
      </c>
      <c r="C13" s="51" t="s">
        <v>413</v>
      </c>
      <c r="D13" s="81" t="n">
        <v>100</v>
      </c>
      <c r="E13" s="51" t="s">
        <v>414</v>
      </c>
      <c r="F13" s="51" t="s">
        <v>415</v>
      </c>
      <c r="G13" s="51" t="s">
        <v>416</v>
      </c>
    </row>
    <row r="14" customFormat="false" ht="99.75" hidden="false" customHeight="true" outlineLevel="0" collapsed="false">
      <c r="B14" s="24" t="s">
        <v>417</v>
      </c>
      <c r="C14" s="24" t="s">
        <v>418</v>
      </c>
      <c r="D14" s="82" t="n">
        <v>0</v>
      </c>
      <c r="E14" s="24" t="s">
        <v>419</v>
      </c>
      <c r="F14" s="24" t="s">
        <v>420</v>
      </c>
      <c r="G14" s="24" t="s">
        <v>411</v>
      </c>
    </row>
    <row r="15" customFormat="false" ht="99.75" hidden="false" customHeight="true" outlineLevel="0" collapsed="false">
      <c r="B15" s="24" t="s">
        <v>421</v>
      </c>
      <c r="C15" s="24" t="s">
        <v>422</v>
      </c>
      <c r="D15" s="82" t="n">
        <v>4182</v>
      </c>
      <c r="E15" s="24" t="s">
        <v>423</v>
      </c>
      <c r="F15" s="24" t="s">
        <v>424</v>
      </c>
      <c r="G15" s="24" t="s">
        <v>411</v>
      </c>
    </row>
    <row r="17" customFormat="false" ht="21.75" hidden="false" customHeight="true" outlineLevel="0" collapsed="false">
      <c r="A17" s="79" t="s">
        <v>425</v>
      </c>
      <c r="B17" s="79"/>
      <c r="C17" s="79"/>
      <c r="D17" s="79"/>
      <c r="E17" s="79"/>
      <c r="F17" s="79"/>
      <c r="G17" s="79"/>
      <c r="H17" s="79"/>
    </row>
    <row r="18" customFormat="false" ht="90" hidden="false" customHeight="true" outlineLevel="0" collapsed="false">
      <c r="B18" s="83" t="s">
        <v>426</v>
      </c>
      <c r="C18" s="83"/>
      <c r="D18" s="83"/>
      <c r="E18" s="83"/>
      <c r="F18" s="83"/>
      <c r="G18" s="83"/>
      <c r="H18" s="83"/>
      <c r="I18" s="83"/>
    </row>
    <row r="19" customFormat="false" ht="15" hidden="false" customHeight="false" outlineLevel="0" collapsed="false">
      <c r="B19" s="83"/>
      <c r="C19" s="83"/>
      <c r="D19" s="83"/>
      <c r="E19" s="83"/>
      <c r="F19" s="83"/>
      <c r="G19" s="83"/>
      <c r="H19" s="83"/>
      <c r="I19" s="83"/>
    </row>
    <row r="20" customFormat="false" ht="15" hidden="false" customHeight="false" outlineLevel="0" collapsed="false">
      <c r="B20" s="83"/>
      <c r="C20" s="83"/>
      <c r="D20" s="83"/>
      <c r="E20" s="83"/>
      <c r="F20" s="83"/>
      <c r="G20" s="83"/>
      <c r="H20" s="83"/>
      <c r="I20" s="83"/>
    </row>
    <row r="22" customFormat="false" ht="21.75" hidden="false" customHeight="true" outlineLevel="0" collapsed="false">
      <c r="A22" s="79" t="s">
        <v>427</v>
      </c>
      <c r="B22" s="79"/>
      <c r="C22" s="79"/>
      <c r="D22" s="79"/>
      <c r="E22" s="79"/>
      <c r="F22" s="79"/>
      <c r="G22" s="79"/>
      <c r="H22" s="79"/>
    </row>
    <row r="23" customFormat="false" ht="15" hidden="false" customHeight="false" outlineLevel="0" collapsed="false">
      <c r="B23" s="21" t="s">
        <v>176</v>
      </c>
      <c r="C23" s="21" t="s">
        <v>305</v>
      </c>
      <c r="D23" s="21" t="s">
        <v>306</v>
      </c>
    </row>
    <row r="24" customFormat="false" ht="15" hidden="false" customHeight="false" outlineLevel="0" collapsed="false">
      <c r="B24" s="84" t="s">
        <v>307</v>
      </c>
      <c r="C24" s="85" t="n">
        <v>100</v>
      </c>
      <c r="D24" s="84"/>
    </row>
    <row r="25" customFormat="false" ht="15" hidden="false" customHeight="false" outlineLevel="0" collapsed="false">
      <c r="B25" s="84" t="s">
        <v>428</v>
      </c>
      <c r="C25" s="84"/>
      <c r="D25" s="85" t="n">
        <v>100</v>
      </c>
    </row>
    <row r="27" customFormat="false" ht="21.75" hidden="false" customHeight="true" outlineLevel="0" collapsed="false">
      <c r="A27" s="79" t="s">
        <v>429</v>
      </c>
      <c r="B27" s="79"/>
      <c r="C27" s="79"/>
      <c r="D27" s="79"/>
      <c r="E27" s="79"/>
      <c r="F27" s="79"/>
      <c r="G27" s="79"/>
      <c r="H27" s="79"/>
    </row>
    <row r="28" customFormat="false" ht="15" hidden="false" customHeight="false" outlineLevel="0" collapsed="false">
      <c r="B28" s="21" t="s">
        <v>430</v>
      </c>
      <c r="C28" s="21" t="s">
        <v>70</v>
      </c>
    </row>
    <row r="29" customFormat="false" ht="15" hidden="false" customHeight="false" outlineLevel="0" collapsed="false">
      <c r="B29" s="86" t="s">
        <v>431</v>
      </c>
      <c r="C29" s="87" t="n">
        <v>270482.01</v>
      </c>
    </row>
    <row r="30" customFormat="false" ht="15" hidden="false" customHeight="false" outlineLevel="0" collapsed="false">
      <c r="B30" s="86" t="s">
        <v>432</v>
      </c>
      <c r="C30" s="87" t="n">
        <v>270482.01</v>
      </c>
    </row>
    <row r="31" customFormat="false" ht="15" hidden="false" customHeight="false" outlineLevel="0" collapsed="false">
      <c r="B31" s="86" t="s">
        <v>387</v>
      </c>
      <c r="C31" s="87" t="n">
        <v>584588.34</v>
      </c>
    </row>
    <row r="32" customFormat="false" ht="15" hidden="false" customHeight="false" outlineLevel="0" collapsed="false">
      <c r="B32" s="86" t="s">
        <v>390</v>
      </c>
      <c r="C32" s="87" t="n">
        <v>314106.33</v>
      </c>
    </row>
    <row r="33" customFormat="false" ht="15" hidden="false" customHeight="false" outlineLevel="0" collapsed="false">
      <c r="B33" s="86" t="s">
        <v>433</v>
      </c>
      <c r="C33" s="87" t="n">
        <v>37223.2</v>
      </c>
    </row>
    <row r="35" customFormat="false" ht="15" hidden="false" customHeight="true" outlineLevel="0" collapsed="false">
      <c r="B35" s="53" t="s">
        <v>434</v>
      </c>
      <c r="C35" s="53"/>
      <c r="D35" s="53"/>
      <c r="E35" s="53"/>
      <c r="F35" s="53"/>
      <c r="G35" s="53"/>
      <c r="H35" s="53"/>
      <c r="I35" s="53"/>
    </row>
    <row r="36" customFormat="false" ht="15" hidden="false" customHeight="false" outlineLevel="0" collapsed="false">
      <c r="B36" s="53"/>
      <c r="C36" s="53"/>
      <c r="D36" s="53"/>
      <c r="E36" s="53"/>
      <c r="F36" s="53"/>
      <c r="G36" s="53"/>
      <c r="H36" s="53"/>
      <c r="I36" s="53"/>
    </row>
    <row r="37" customFormat="false" ht="15" hidden="false" customHeight="false" outlineLevel="0" collapsed="false">
      <c r="B37" s="53"/>
      <c r="C37" s="53"/>
      <c r="D37" s="53"/>
      <c r="E37" s="53"/>
      <c r="F37" s="53"/>
      <c r="G37" s="53"/>
      <c r="H37" s="53"/>
      <c r="I37" s="53"/>
    </row>
  </sheetData>
  <mergeCells count="8">
    <mergeCell ref="A2:H2"/>
    <mergeCell ref="B4:I7"/>
    <mergeCell ref="A9:H9"/>
    <mergeCell ref="A17:H17"/>
    <mergeCell ref="B18:I20"/>
    <mergeCell ref="A22:H22"/>
    <mergeCell ref="A27:H27"/>
    <mergeCell ref="B35:I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2026-08-13T11:36:36Z</dcterms:created>
  <dc:creator>openpyxl</dc:creator>
  <dc:description/>
  <dc:language>en-US</dc:language>
  <cp:lastModifiedBy/>
  <dcterms:modified xsi:type="dcterms:W3CDTF">2026-08-13T16:08:35Z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