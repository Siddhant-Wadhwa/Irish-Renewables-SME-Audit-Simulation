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DELL/Downloads/"/>
    </mc:Choice>
  </mc:AlternateContent>
  <xr:revisionPtr revIDLastSave="0" documentId="13_ncr:1_{C7E3FAFE-34CB-4540-85F0-7F33215E24B8}" xr6:coauthVersionLast="47" xr6:coauthVersionMax="47" xr10:uidLastSave="{00000000-0000-0000-0000-000000000000}"/>
  <bookViews>
    <workbookView xWindow="0" yWindow="660" windowWidth="29400" windowHeight="16440" tabRatio="500" xr2:uid="{00000000-000D-0000-FFFF-FFFF00000000}"/>
  </bookViews>
  <sheets>
    <sheet name="README_Assumptions" sheetId="1" r:id="rId1"/>
    <sheet name="Chart_of_Accounts" sheetId="2" r:id="rId2"/>
    <sheet name="Sales_Population" sheetId="3" r:id="rId3"/>
    <sheet name="Supplier_Bills_Population" sheetId="4" r:id="rId4"/>
    <sheet name="Bank_Statement_Dec2025" sheetId="5" r:id="rId5"/>
    <sheet name="Grant" sheetId="6" r:id="rId6"/>
    <sheet name="Payroll" sheetId="7" r:id="rId7"/>
    <sheet name="Fixed_Assets" sheetId="8" r:id="rId8"/>
  </sheets>
  <definedNames>
    <definedName name="_xlnm._FilterDatabase" localSheetId="2" hidden="1">Sales_Population!$A$4:$L$34</definedName>
    <definedName name="_xlnm._FilterDatabase" localSheetId="3" hidden="1">Supplier_Bills_Population!$A$4:$L$33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8" l="1"/>
  <c r="H7" i="8" s="1"/>
  <c r="I7" i="8" s="1"/>
  <c r="F6" i="8"/>
  <c r="H6" i="8" s="1"/>
  <c r="I6" i="8" s="1"/>
  <c r="F5" i="8"/>
  <c r="H5" i="8" s="1"/>
  <c r="I5" i="8" s="1"/>
  <c r="E9" i="7"/>
  <c r="D6" i="7"/>
  <c r="E6" i="7" s="1"/>
  <c r="E5" i="7"/>
  <c r="E8" i="7" s="1"/>
  <c r="D5" i="7"/>
  <c r="E10" i="7" s="1"/>
  <c r="E6" i="5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2" i="5" s="1"/>
  <c r="G35" i="4"/>
  <c r="I33" i="4"/>
  <c r="J33" i="4" s="1"/>
  <c r="I32" i="4"/>
  <c r="J32" i="4" s="1"/>
  <c r="I31" i="4"/>
  <c r="J31" i="4" s="1"/>
  <c r="I30" i="4"/>
  <c r="J30" i="4" s="1"/>
  <c r="J29" i="4"/>
  <c r="I29" i="4"/>
  <c r="I28" i="4"/>
  <c r="J28" i="4" s="1"/>
  <c r="I27" i="4"/>
  <c r="I26" i="4"/>
  <c r="J26" i="4" s="1"/>
  <c r="I25" i="4"/>
  <c r="J25" i="4" s="1"/>
  <c r="I24" i="4"/>
  <c r="J24" i="4" s="1"/>
  <c r="I23" i="4"/>
  <c r="J23" i="4" s="1"/>
  <c r="I22" i="4"/>
  <c r="J22" i="4" s="1"/>
  <c r="I21" i="4"/>
  <c r="J21" i="4" s="1"/>
  <c r="I20" i="4"/>
  <c r="J20" i="4" s="1"/>
  <c r="I19" i="4"/>
  <c r="J19" i="4" s="1"/>
  <c r="I18" i="4"/>
  <c r="J18" i="4" s="1"/>
  <c r="I17" i="4"/>
  <c r="J17" i="4" s="1"/>
  <c r="I16" i="4"/>
  <c r="J16" i="4" s="1"/>
  <c r="I15" i="4"/>
  <c r="J15" i="4" s="1"/>
  <c r="I14" i="4"/>
  <c r="J14" i="4" s="1"/>
  <c r="I13" i="4"/>
  <c r="J13" i="4" s="1"/>
  <c r="I12" i="4"/>
  <c r="J12" i="4" s="1"/>
  <c r="I11" i="4"/>
  <c r="J11" i="4" s="1"/>
  <c r="I10" i="4"/>
  <c r="J10" i="4" s="1"/>
  <c r="I9" i="4"/>
  <c r="J9" i="4" s="1"/>
  <c r="I8" i="4"/>
  <c r="J8" i="4" s="1"/>
  <c r="I7" i="4"/>
  <c r="J7" i="4" s="1"/>
  <c r="I6" i="4"/>
  <c r="J6" i="4" s="1"/>
  <c r="I5" i="4"/>
  <c r="J5" i="4" s="1"/>
  <c r="H38" i="3"/>
  <c r="J37" i="3"/>
  <c r="H37" i="3"/>
  <c r="K35" i="3"/>
  <c r="J35" i="3"/>
  <c r="J34" i="3"/>
  <c r="K34" i="3" s="1"/>
  <c r="J33" i="3"/>
  <c r="K33" i="3" s="1"/>
  <c r="J32" i="3"/>
  <c r="K32" i="3" s="1"/>
  <c r="J31" i="3"/>
  <c r="K31" i="3" s="1"/>
  <c r="J30" i="3"/>
  <c r="K30" i="3" s="1"/>
  <c r="J29" i="3"/>
  <c r="K29" i="3" s="1"/>
  <c r="J28" i="3"/>
  <c r="K28" i="3" s="1"/>
  <c r="J27" i="3"/>
  <c r="K27" i="3" s="1"/>
  <c r="J26" i="3"/>
  <c r="K26" i="3" s="1"/>
  <c r="J25" i="3"/>
  <c r="K25" i="3" s="1"/>
  <c r="J24" i="3"/>
  <c r="K24" i="3" s="1"/>
  <c r="J23" i="3"/>
  <c r="K23" i="3" s="1"/>
  <c r="J22" i="3"/>
  <c r="K22" i="3" s="1"/>
  <c r="J21" i="3"/>
  <c r="K21" i="3" s="1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K12" i="3" s="1"/>
  <c r="J11" i="3"/>
  <c r="K11" i="3" s="1"/>
  <c r="J10" i="3"/>
  <c r="K10" i="3" s="1"/>
  <c r="J9" i="3"/>
  <c r="K9" i="3" s="1"/>
  <c r="J8" i="3"/>
  <c r="K8" i="3" s="1"/>
  <c r="J7" i="3"/>
  <c r="K7" i="3" s="1"/>
  <c r="J6" i="3"/>
  <c r="K6" i="3" s="1"/>
  <c r="J5" i="3"/>
  <c r="K5" i="3" s="1"/>
  <c r="I35" i="4" l="1"/>
  <c r="J27" i="4"/>
  <c r="J35" i="4" s="1"/>
  <c r="K37" i="3"/>
</calcChain>
</file>

<file path=xl/sharedStrings.xml><?xml version="1.0" encoding="utf-8"?>
<sst xmlns="http://schemas.openxmlformats.org/spreadsheetml/2006/main" count="510" uniqueCount="341">
  <si>
    <t>Sales Invoice Population — FY2025</t>
  </si>
  <si>
    <t>30 invoices, designed bottom-up in Excel before Xero entry. 8 deliberately flagged.</t>
  </si>
  <si>
    <t>Invoice No</t>
  </si>
  <si>
    <t>Customer</t>
  </si>
  <si>
    <t>Customer Type</t>
  </si>
  <si>
    <t>Description</t>
  </si>
  <si>
    <t>Invoice Date</t>
  </si>
  <si>
    <t>Completion Date</t>
  </si>
  <si>
    <t>Payment Date</t>
  </si>
  <si>
    <t>Net Amount</t>
  </si>
  <si>
    <t>VAT % (as recorded)</t>
  </si>
  <si>
    <t>VAT Amount</t>
  </si>
  <si>
    <t>Gross Amount</t>
  </si>
  <si>
    <t>Risk Flag</t>
  </si>
  <si>
    <t>INV-0001</t>
  </si>
  <si>
    <t>Murphy Residence</t>
  </si>
  <si>
    <t>Residential</t>
  </si>
  <si>
    <t>Residential solar PV installation</t>
  </si>
  <si>
    <t>INV-0002</t>
  </si>
  <si>
    <t>O'Brien Residence</t>
  </si>
  <si>
    <t>INV-0003</t>
  </si>
  <si>
    <t>Munster Facilities Ltd</t>
  </si>
  <si>
    <t>Commercial</t>
  </si>
  <si>
    <t>Commercial solar equipment supply &amp; install</t>
  </si>
  <si>
    <t>INV-0004</t>
  </si>
  <si>
    <t>Kelly Residence</t>
  </si>
  <si>
    <t>Residential battery storage installation</t>
  </si>
  <si>
    <t>INV-0006</t>
  </si>
  <si>
    <t>Cork Logistics Ltd</t>
  </si>
  <si>
    <t>Commercial solar panel supply</t>
  </si>
  <si>
    <t>INV-0007</t>
  </si>
  <si>
    <t>Byrne Residence</t>
  </si>
  <si>
    <t>INV-0008</t>
  </si>
  <si>
    <t>Harbour Retail Group</t>
  </si>
  <si>
    <t>Commercial battery + panel supply</t>
  </si>
  <si>
    <t>INV-0009</t>
  </si>
  <si>
    <t>Walsh Residence</t>
  </si>
  <si>
    <t>INV-0010</t>
  </si>
  <si>
    <t>Lee Manufacturing Ltd</t>
  </si>
  <si>
    <t>Commercial equipment supply</t>
  </si>
  <si>
    <t>INV-0011</t>
  </si>
  <si>
    <t>Fitzgerald Residence</t>
  </si>
  <si>
    <t>Residential solar PV installation (large)</t>
  </si>
  <si>
    <t>Large value — tested, no exceptions</t>
  </si>
  <si>
    <t>INV-0012</t>
  </si>
  <si>
    <t>Ryan Residence</t>
  </si>
  <si>
    <t>Residential battery installation</t>
  </si>
  <si>
    <t>INV-0013</t>
  </si>
  <si>
    <t>Southcoast Hospitality Ltd</t>
  </si>
  <si>
    <t>Commercial solar installation</t>
  </si>
  <si>
    <t>INV-0014</t>
  </si>
  <si>
    <t>Doyle Residence</t>
  </si>
  <si>
    <t>INV-0015</t>
  </si>
  <si>
    <t>Barrett Engineering Ltd</t>
  </si>
  <si>
    <t>INV-0016</t>
  </si>
  <si>
    <t>Nolan Residence</t>
  </si>
  <si>
    <t>VAT rate error — should be 0% (F03)</t>
  </si>
  <si>
    <t>INV-0017</t>
  </si>
  <si>
    <t>Coastal Retail Park Ltd</t>
  </si>
  <si>
    <t>Commercial solar equipment supply</t>
  </si>
  <si>
    <t>INV-0018</t>
  </si>
  <si>
    <t>Quinn Residence</t>
  </si>
  <si>
    <t>INV-0019</t>
  </si>
  <si>
    <t>Blackrock Enterprises Ltd</t>
  </si>
  <si>
    <t>Commercial battery installation</t>
  </si>
  <si>
    <t>INV-0020</t>
  </si>
  <si>
    <t>Casey Residence</t>
  </si>
  <si>
    <t>INV-0021</t>
  </si>
  <si>
    <t>Riverside Business Park Ltd</t>
  </si>
  <si>
    <t>INV-0022</t>
  </si>
  <si>
    <t>Moran Residence</t>
  </si>
  <si>
    <t>INV-0023</t>
  </si>
  <si>
    <t>Harmon Foods Ltd</t>
  </si>
  <si>
    <t>VAT rate error — should be 23% (F04)</t>
  </si>
  <si>
    <t>INV-0024</t>
  </si>
  <si>
    <t>Whelan Residence</t>
  </si>
  <si>
    <t>INV-0025</t>
  </si>
  <si>
    <t>Prestige Motors Ltd</t>
  </si>
  <si>
    <t>Missing completion certificate (F02)</t>
  </si>
  <si>
    <t>INV-0026</t>
  </si>
  <si>
    <t>Grogan Residence</t>
  </si>
  <si>
    <t>INV-0027</t>
  </si>
  <si>
    <t>Delta Manufacturing Ltd</t>
  </si>
  <si>
    <t>INV-0028</t>
  </si>
  <si>
    <t>Costello Residence</t>
  </si>
  <si>
    <t>INV-0029</t>
  </si>
  <si>
    <t>Summit Business Centre Ltd</t>
  </si>
  <si>
    <t>Revenue cut-off (F01a)</t>
  </si>
  <si>
    <t>INV-0030</t>
  </si>
  <si>
    <t>Everline Retail Ltd</t>
  </si>
  <si>
    <t>Revenue cut-off (F01b)</t>
  </si>
  <si>
    <t>INV-0031</t>
  </si>
  <si>
    <t>Ashworth Group Ltd</t>
  </si>
  <si>
    <t>Credit note follow-up required (F05)</t>
  </si>
  <si>
    <t>CN-001</t>
  </si>
  <si>
    <t>Credit note — price adjustment agreed on INV-0031 (goods returned)</t>
  </si>
  <si>
    <t>Relates to Dec-25 sale but issued/dated Jan-26 (F05)</t>
  </si>
  <si>
    <t>TOTAL NET REVENUE (invoices only, excl. credit note)</t>
  </si>
  <si>
    <t>Net revenue incl. credit note</t>
  </si>
  <si>
    <t>Irish Renewables — Transaction Population</t>
  </si>
  <si>
    <t>Excel build feeding into Xero | FYE 31 December 2025</t>
  </si>
  <si>
    <t>COMPANY</t>
  </si>
  <si>
    <t>Legal name</t>
  </si>
  <si>
    <t>Irish Renewables Limited (trading as Irish Renewables)</t>
  </si>
  <si>
    <t>Location</t>
  </si>
  <si>
    <t>Dublin, Ireland</t>
  </si>
  <si>
    <t>Industry</t>
  </si>
  <si>
    <t>Solar PV &amp; battery storage — electrical contracting / installation</t>
  </si>
  <si>
    <t>Year end</t>
  </si>
  <si>
    <t>31 December 2025</t>
  </si>
  <si>
    <t>Currency</t>
  </si>
  <si>
    <t>EUR</t>
  </si>
  <si>
    <t>Employees</t>
  </si>
  <si>
    <t>2 (see Payroll sheet)</t>
  </si>
  <si>
    <t>KEY ASSUMPTIONS — READ BEFORE ENTERING INTO XERO</t>
  </si>
  <si>
    <t>1. Revenue population</t>
  </si>
  <si>
    <t>30 sales invoices designed bottom-up (not forced to a round total). Net revenue = sum of the Sales_Population sheet = SUM formula on that sheet. This lands at roughly €660k-€670k net, lower than the ~€900k-1.05m ballpark used earlier in planning conversation — kept as-is deliberately: real audit populations are never reverse-engineered from a target revenue figure, and this still reads as a plausible first full year for a 2-person SME. Increase invoice sizes/counts yourself if you specifically want a higher headline revenue number.</t>
  </si>
  <si>
    <t>2. VAT rates</t>
  </si>
  <si>
    <t>0% applied to qualifying residential supply-and-install contracts on private dwellings; 23% standard rate applied to commercial supply/installation. This follows Irish Revenue's published position that solar panel supply itself is standard-rated, while the zero rate is specific to qualifying supply-and-install contracts on private dwellings. Two invoices are DELIBERATELY entered at the wrong rate (see Risk Flag column) to seed the VAT testing finding.</t>
  </si>
  <si>
    <t>3. Domestic construction VAT reverse charge — SIMPLIFIED OUT</t>
  </si>
  <si>
    <t>In Ireland, subcontractor labour in construction is often subject to a domestic VAT reverse charge (relevant contracts VAT treatment), which would add a further layer of complexity. This simulation does NOT model that — all subcontractor labour bills are entered at standard 23% VAT for simplicity. This is a genuine simplification, not an oversight — flag it as a stated scope limitation in your audit file if asked about it in interview.</t>
  </si>
  <si>
    <t>4. EU reverse charge (goods)</t>
  </si>
  <si>
    <t>One supplier (Battery Supplier GmbH, Germany) is an EU intra-Community acquisition. The correct treatment is for Irish Renewables to self-account for Irish VAT under the reverse charge mechanism (output VAT = input VAT, net nil cash effect, but must appear on the VAT return at the correct rate). The bill is DELIBERATELY entered with no VAT self-accounted, to seed the EU VAT testing finding.</t>
  </si>
  <si>
    <t>5. Fixed asset thresholds &amp; depreciation</t>
  </si>
  <si>
    <t>Assets ≥ €500 are capitalised. Straight-line depreciation: Computer Equipment 3 years, Vehicles 5 years, Tools &amp; Equipment 5 years. All three Nov-2025 asset purchases (laptop, van, tools) are therefore in use for 2 months of FY2025 (Nov-Dec).</t>
  </si>
  <si>
    <t>6. Grant accounting policy</t>
  </si>
  <si>
    <t>SEAI grant income relating to capital expenditure is deferred and released to the P&amp;L over the useful life of the asset(s) it funds, matching the deprecation profile of those assets (this is the standard treatment for capital grants under FRS 102 Section 24 / IAS 20 — grants related to assets are recognised in income over the asset's useful life, not on receipt). The €20,000 grant is DELIBERATELY recognised in full in June 2025 (on receipt) instead, to seed the grant finding.</t>
  </si>
  <si>
    <t>7. Payroll</t>
  </si>
  <si>
    <t>Kept deliberately simple — 2 employees, fixed monthly gross salary, employer PRSI at a flat assumed 11.05% (standard Class A employer rate). No BIK, no pension, no bonus complexity. This is a simplification stated openly — payroll is not a planted-error area in this simulation.</t>
  </si>
  <si>
    <t>8. Planted errors — full list</t>
  </si>
  <si>
    <t>See PRIVATE_ANSWER_KEY.xlsx (kept OUTSIDE this file and never uploaded to GitHub). This workbook's 'Risk Flag' columns mirror what a real auditor would flag on first review — keeping them here is normal working-paper practice, it is only the consolidated FINDING NARRATIVE that stays private until the audit working papers are written up.</t>
  </si>
  <si>
    <t>9. Margin profile</t>
  </si>
  <si>
    <t>Gross margin on this population works out to roughly 55-60%, which is generous for pure equipment resale but plausible for an installation-inclusive service model (labour bundled into the sale price). Flagged here as a modelling choice, not a claim about real Irish solar-sector margins.</t>
  </si>
  <si>
    <t>10. Bank statement scope</t>
  </si>
  <si>
    <t>Only December 2025 is built out in full as a bank statement, since that is the period your bank reconciliation and cut-off testing actually focus on. Earlier months are represented only through invoice/bill payment-date fields, not a full 12-month bank statement — this keeps the build proportionate to what the testing phases actually use.</t>
  </si>
  <si>
    <t>11. Invoice numbering note (added post-Xero-build)</t>
  </si>
  <si>
    <t>During Xero data entry, invoice INV-0005 was skipped due to a data-entry sequencing issue, so every invoice number in the real Xero build from this point onward is offset by +1 versus the original design numbering used in this workbook (e.g. this workbook's INV015 corresponds to real Xero invoice INV-0016). All invoice numbers in this workbook have been updated to match the real Xero numbering exactly, so this population now reads consistently against the working papers and Xero evidence.</t>
  </si>
  <si>
    <t>Chart of Accounts</t>
  </si>
  <si>
    <t>Import this into Xero rather than using the default template</t>
  </si>
  <si>
    <t>Code</t>
  </si>
  <si>
    <t>Account Name</t>
  </si>
  <si>
    <t>Type</t>
  </si>
  <si>
    <t>REVENUE</t>
  </si>
  <si>
    <t>Residential Solar Installation Revenue</t>
  </si>
  <si>
    <t>Revenue</t>
  </si>
  <si>
    <t>Commercial Solar Installation Revenue</t>
  </si>
  <si>
    <t>Equipment Sales</t>
  </si>
  <si>
    <t>Battery Installation Revenue</t>
  </si>
  <si>
    <t>Grant Income</t>
  </si>
  <si>
    <t>COST OF SALES</t>
  </si>
  <si>
    <t>Solar Panels</t>
  </si>
  <si>
    <t>Direct Costs</t>
  </si>
  <si>
    <t>Inverters</t>
  </si>
  <si>
    <t>Batteries</t>
  </si>
  <si>
    <t>Installation Materials</t>
  </si>
  <si>
    <t>Subcontractor Labour</t>
  </si>
  <si>
    <t>OPERATING EXPENSES</t>
  </si>
  <si>
    <t>Van Running Costs</t>
  </si>
  <si>
    <t>Expense</t>
  </si>
  <si>
    <t>Insurance</t>
  </si>
  <si>
    <t>Telephone</t>
  </si>
  <si>
    <t>Office Expenses</t>
  </si>
  <si>
    <t>Professional Fees</t>
  </si>
  <si>
    <t>Advertising</t>
  </si>
  <si>
    <t>Bank Charges</t>
  </si>
  <si>
    <t>Payroll — Wages &amp; Salaries</t>
  </si>
  <si>
    <t>Payroll — Employer PRSI</t>
  </si>
  <si>
    <t>Depreciation</t>
  </si>
  <si>
    <t>FIXED ASSETS</t>
  </si>
  <si>
    <t>Computer Equipment</t>
  </si>
  <si>
    <t>Fixed Asset</t>
  </si>
  <si>
    <t>Accumulated Depreciation — Computer Equipment</t>
  </si>
  <si>
    <t>Vehicles</t>
  </si>
  <si>
    <t>Accumulated Depreciation — Vehicles</t>
  </si>
  <si>
    <t>Tools &amp; Equipment</t>
  </si>
  <si>
    <t>Accumulated Depreciation — Tools &amp; Equipment</t>
  </si>
  <si>
    <t>CURRENT ASSETS / LIABILITIES</t>
  </si>
  <si>
    <t>Bank Current Account</t>
  </si>
  <si>
    <t>Bank</t>
  </si>
  <si>
    <t>Trade Receivables</t>
  </si>
  <si>
    <t>Current Asset</t>
  </si>
  <si>
    <t>VAT Control</t>
  </si>
  <si>
    <t>Current Liability</t>
  </si>
  <si>
    <t>Trade Payables</t>
  </si>
  <si>
    <t>PAYE/PRSI Payable</t>
  </si>
  <si>
    <t>Deferred Grant Income</t>
  </si>
  <si>
    <t>EQUITY</t>
  </si>
  <si>
    <t>Share Capital</t>
  </si>
  <si>
    <t>Equity</t>
  </si>
  <si>
    <t>Retained Earnings</t>
  </si>
  <si>
    <t>Supplier Bill Population — FY2025</t>
  </si>
  <si>
    <t>29 bills. 4 deliberately flagged (laptop, duplicate, EU reverse charge).</t>
  </si>
  <si>
    <t>Bill No</t>
  </si>
  <si>
    <t>Supplier</t>
  </si>
  <si>
    <t>Country</t>
  </si>
  <si>
    <t>Account Code</t>
  </si>
  <si>
    <t>Bill Date</t>
  </si>
  <si>
    <t>Reverse Charge Y/N</t>
  </si>
  <si>
    <t>BILL0001</t>
  </si>
  <si>
    <t>SolarTech Distribution Ltd</t>
  </si>
  <si>
    <t>Ireland</t>
  </si>
  <si>
    <t>Solar panels — stock</t>
  </si>
  <si>
    <t>N</t>
  </si>
  <si>
    <t>BILL0002</t>
  </si>
  <si>
    <t>EuroInverters Ltd</t>
  </si>
  <si>
    <t>Inverters — stock</t>
  </si>
  <si>
    <t>BILL0003</t>
  </si>
  <si>
    <t>PowerCell Batteries Ltd</t>
  </si>
  <si>
    <t>Batteries — stock</t>
  </si>
  <si>
    <t>BILL0004</t>
  </si>
  <si>
    <t>Cork Electrical Supplies</t>
  </si>
  <si>
    <t>Installation materials</t>
  </si>
  <si>
    <t>BILL0005</t>
  </si>
  <si>
    <t>O'Sullivan Subcontracting</t>
  </si>
  <si>
    <t>Subcontractor installation labour</t>
  </si>
  <si>
    <t>Domestic construction reverse charge not modelled — see README assumption 3</t>
  </si>
  <si>
    <t>BILL0006</t>
  </si>
  <si>
    <t>Munster Insurance Brokers</t>
  </si>
  <si>
    <t>Annual public liability insurance premium</t>
  </si>
  <si>
    <t>BILL0007</t>
  </si>
  <si>
    <t>BILL0008</t>
  </si>
  <si>
    <t>BILL0009</t>
  </si>
  <si>
    <t>BILL0010</t>
  </si>
  <si>
    <t>BILL0011</t>
  </si>
  <si>
    <t>TechWorld Cork</t>
  </si>
  <si>
    <t>Laptop — coded to Office Expenses</t>
  </si>
  <si>
    <t>Should be capitalised as Computer Equipment (F09)</t>
  </si>
  <si>
    <t>BILL0012</t>
  </si>
  <si>
    <t>BILL0013</t>
  </si>
  <si>
    <t>BILL0014</t>
  </si>
  <si>
    <t>Vodafone Ireland</t>
  </si>
  <si>
    <t>Business mobile/telephone</t>
  </si>
  <si>
    <t>BILL0015</t>
  </si>
  <si>
    <t>BILL0016</t>
  </si>
  <si>
    <t>Battery Supplier GmbH</t>
  </si>
  <si>
    <t>Germany</t>
  </si>
  <si>
    <t>Batteries — EU intra-Community acquisition</t>
  </si>
  <si>
    <t>EU reverse charge VAT not self-accounted (F07)</t>
  </si>
  <si>
    <t>BILL0017</t>
  </si>
  <si>
    <t>BILL0018</t>
  </si>
  <si>
    <t>Duplicate of BILL019 (F06)</t>
  </si>
  <si>
    <t>BILL0019</t>
  </si>
  <si>
    <t>Solar panels — stock (duplicate entry)</t>
  </si>
  <si>
    <t>Duplicate of BILL018 (F06)</t>
  </si>
  <si>
    <t>BILL0020</t>
  </si>
  <si>
    <t>BILL0021</t>
  </si>
  <si>
    <t>Reilly &amp; Associates Solicitors</t>
  </si>
  <si>
    <t>Legal/professional fees</t>
  </si>
  <si>
    <t>BILL0022</t>
  </si>
  <si>
    <t>BILL0023</t>
  </si>
  <si>
    <t>BILL0024</t>
  </si>
  <si>
    <t>AA Fleet Insurance</t>
  </si>
  <si>
    <t>Company van running costs — insurance top-up</t>
  </si>
  <si>
    <t>BILL0025</t>
  </si>
  <si>
    <t>Eircom Business</t>
  </si>
  <si>
    <t>Business telephone/broadband</t>
  </si>
  <si>
    <t>BILL0026</t>
  </si>
  <si>
    <t>BILL0027</t>
  </si>
  <si>
    <t>BILL0028</t>
  </si>
  <si>
    <t>CarZone Cork</t>
  </si>
  <si>
    <t>Company van — correctly capitalised</t>
  </si>
  <si>
    <t>BILL0029</t>
  </si>
  <si>
    <t>ToolMaster Ireland</t>
  </si>
  <si>
    <t>Tools &amp; equipment — correctly capitalised</t>
  </si>
  <si>
    <t>TOTAL SUPPLIER BILLS (net / VAT / gross)</t>
  </si>
  <si>
    <t>Bank Statement — December 2025 (external/true record)</t>
  </si>
  <si>
    <t>Used for the year-end bank reconciliation. 3 planted differences vs. Xero's cash book.</t>
  </si>
  <si>
    <t>Date</t>
  </si>
  <si>
    <t>Money In</t>
  </si>
  <si>
    <t>Money Out</t>
  </si>
  <si>
    <t>Balance</t>
  </si>
  <si>
    <t>Flag</t>
  </si>
  <si>
    <t>Opening balance</t>
  </si>
  <si>
    <t>Customer receipts — residential invoices</t>
  </si>
  <si>
    <t>Customer receipts — commercial invoices</t>
  </si>
  <si>
    <t>Supplier payment — SolarTech Distribution Ltd</t>
  </si>
  <si>
    <t>Supplier payment — O'Sullivan Subcontracting</t>
  </si>
  <si>
    <t>Paid twice on same day — investigate (F11)</t>
  </si>
  <si>
    <t>Supplier payment — O'Sullivan Subcontracting (2nd transfer)</t>
  </si>
  <si>
    <t>Duplicate transfer — no 2nd bill in Xero (F11)</t>
  </si>
  <si>
    <t>Payroll payment</t>
  </si>
  <si>
    <t>Van running costs — fuel</t>
  </si>
  <si>
    <t>Customer receipt — commercial invoice</t>
  </si>
  <si>
    <t>Insurance premium — annual</t>
  </si>
  <si>
    <t>Bank charges</t>
  </si>
  <si>
    <t>Not posted in Xero cash book (F10)</t>
  </si>
  <si>
    <t>Van purchase — CarZone Cork</t>
  </si>
  <si>
    <t>Tools purchase — ToolMaster Ireland</t>
  </si>
  <si>
    <t>Customer receipt — Prestige Motors (part payment)</t>
  </si>
  <si>
    <t>[NOT on bank statement — see note below] Cheque to Cork Electrical Supplies per Xero cash book</t>
  </si>
  <si>
    <t>not on statement — outstanding</t>
  </si>
  <si>
    <t>Outstanding cheque — recorded in Xero 29/12, not yet presented (F12)</t>
  </si>
  <si>
    <t>Closing balance per bank statement, 31/12/2025</t>
  </si>
  <si>
    <t>SEAI Capital Grant</t>
  </si>
  <si>
    <t>Recognised in full on receipt (as-recorded) — should be deferred over asset useful life (F08)</t>
  </si>
  <si>
    <t>Grant provider</t>
  </si>
  <si>
    <t>SEAI (Sustainable Energy Authority of Ireland)</t>
  </si>
  <si>
    <t>Grant purpose</t>
  </si>
  <si>
    <t>Contribution towards qualifying capital equipment (van + tools used in installation operations)</t>
  </si>
  <si>
    <t>Grant amount</t>
  </si>
  <si>
    <t>Approval date</t>
  </si>
  <si>
    <t>Payment date</t>
  </si>
  <si>
    <t>As recorded in Xero (unaudited)</t>
  </si>
  <si>
    <t>Recognised in full as Grant Income on receipt, June 2025</t>
  </si>
  <si>
    <t>Related qualifying assets</t>
  </si>
  <si>
    <t>Van (€25,000, BILL028) + Tools (€4,000, BILL029) = €29,000, both purchased Nov-2025</t>
  </si>
  <si>
    <t>Note</t>
  </si>
  <si>
    <t>Grant approved/paid in advance of the related capex being incurred — treated as an assumption here (consistent with how SEAI commercial grants can be drawn down ahead of final equipment purchase).</t>
  </si>
  <si>
    <t>Payroll — FY2025</t>
  </si>
  <si>
    <t>2 employees, simple monthly run. Not a planted-error area (see README assumption 7).</t>
  </si>
  <si>
    <t>Employee</t>
  </si>
  <si>
    <t>Monthly Gross Salary</t>
  </si>
  <si>
    <t>Employer PRSI Rate</t>
  </si>
  <si>
    <t>Monthly Employer PRSI</t>
  </si>
  <si>
    <t>Monthly Cost to Company</t>
  </si>
  <si>
    <t>Months Employed (2025)</t>
  </si>
  <si>
    <t>Employee 1 — Site Technician</t>
  </si>
  <si>
    <t>Employee 2 — Office/Admin</t>
  </si>
  <si>
    <t>TOTAL ANNUAL PAYROLL COST</t>
  </si>
  <si>
    <t>TOTAL ANNUAL GROSS WAGES (code 670)</t>
  </si>
  <si>
    <t>TOTAL ANNUAL EMPLOYER PRSI (code 671)</t>
  </si>
  <si>
    <t>Fixed Asset Register — Nov 2025 Additions</t>
  </si>
  <si>
    <t>As-recorded in Xero (unaudited) — laptop deliberately misclassified (F09)</t>
  </si>
  <si>
    <t>Asset</t>
  </si>
  <si>
    <t>Related Bill</t>
  </si>
  <si>
    <t>Cost</t>
  </si>
  <si>
    <t>As Recorded In Xero</t>
  </si>
  <si>
    <t>Useful Life (yrs)</t>
  </si>
  <si>
    <t>Annual Depreciation</t>
  </si>
  <si>
    <t>Months In Use FY25</t>
  </si>
  <si>
    <t>FY25 Depreciation Charge</t>
  </si>
  <si>
    <t>NBV at 31/12/25 (correct basis)</t>
  </si>
  <si>
    <t>Laptop</t>
  </si>
  <si>
    <t>BILL011</t>
  </si>
  <si>
    <t>Expensed to Office Expenses (630)</t>
  </si>
  <si>
    <t>Should be Computer Equipment (700) — F09</t>
  </si>
  <si>
    <t>Van</t>
  </si>
  <si>
    <t>BILL028</t>
  </si>
  <si>
    <t>Capitalised to Vehicles (710)</t>
  </si>
  <si>
    <t>BILL029</t>
  </si>
  <si>
    <t>Capitalised to Tools &amp; Equipment (720)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</si>
</sst>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\€#,##0.00;&quot;(€&quot;#,##0.00\);\-"/>
  </numFmts>
  <fonts count="12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b/>
      <sz val="10"/>
      <color rgb="FFC00000"/>
      <name val="Arial"/>
      <family val="2"/>
    </font>
    <font>
      <sz val="10"/>
      <color rgb="FF0000FF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9" fontId="6" fillId="0" borderId="1" xfId="0" applyNumberFormat="1" applyFont="1" applyBorder="1"/>
    <xf numFmtId="165" fontId="4" fillId="0" borderId="1" xfId="0" applyNumberFormat="1" applyFont="1" applyBorder="1"/>
    <xf numFmtId="0" fontId="4" fillId="0" borderId="1" xfId="0" applyFont="1" applyBorder="1"/>
    <xf numFmtId="0" fontId="7" fillId="0" borderId="1" xfId="0" applyFont="1" applyBorder="1"/>
    <xf numFmtId="164" fontId="7" fillId="0" borderId="1" xfId="0" applyNumberFormat="1" applyFont="1" applyBorder="1"/>
    <xf numFmtId="0" fontId="0" fillId="0" borderId="1" xfId="0" applyBorder="1"/>
    <xf numFmtId="165" fontId="3" fillId="0" borderId="0" xfId="0" applyNumberFormat="1" applyFont="1"/>
    <xf numFmtId="165" fontId="6" fillId="0" borderId="0" xfId="0" applyNumberFormat="1" applyFont="1"/>
    <xf numFmtId="164" fontId="6" fillId="0" borderId="0" xfId="0" applyNumberFormat="1" applyFont="1"/>
    <xf numFmtId="10" fontId="6" fillId="0" borderId="1" xfId="0" applyNumberFormat="1" applyFont="1" applyBorder="1"/>
    <xf numFmtId="0" fontId="10" fillId="0" borderId="0" xfId="0" applyFont="1"/>
    <xf numFmtId="0" fontId="11" fillId="0" borderId="0" xfId="0" applyFont="1" applyAlignment="1">
      <alignment vertical="top" wrapText="1"/>
    </xf>
    <xf numFmtId="0" fontId="9" fillId="0" borderId="1" xfId="0" applyFont="1" applyBorder="1"/>
    <xf numFmtId="0" fontId="2" fillId="0" borderId="0" xfId="0" applyFont="1"/>
    <xf numFmtId="0" fontId="0" fillId="0" borderId="0" xfId="0"/>
    <xf numFmtId="0" fontId="1" fillId="0" borderId="0" xfId="0" applyFont="1"/>
    <xf numFmtId="0" fontId="4" fillId="0" borderId="0" xfId="0" applyFont="1" applyAlignment="1">
      <alignment vertical="top" wrapText="1"/>
    </xf>
    <xf numFmtId="0" fontId="3" fillId="0" borderId="0" xfId="0" applyFont="1"/>
    <xf numFmtId="0" fontId="3" fillId="3" borderId="1" xfId="0" applyFont="1" applyFill="1" applyBorder="1"/>
    <xf numFmtId="0" fontId="0" fillId="0" borderId="2" xfId="0" applyBorder="1"/>
    <xf numFmtId="0" fontId="0" fillId="0" borderId="3" xfId="0" applyBorder="1"/>
    <xf numFmtId="0" fontId="6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zoomScaleNormal="100" workbookViewId="0">
      <selection activeCell="A3" sqref="A3"/>
    </sheetView>
  </sheetViews>
  <sheetFormatPr baseColWidth="10" defaultColWidth="8.6640625" defaultRowHeight="15" x14ac:dyDescent="0.2"/>
  <cols>
    <col min="1" max="1" width="63.5" customWidth="1"/>
    <col min="2" max="2" width="100" customWidth="1"/>
    <col min="3" max="6" width="2" customWidth="1"/>
  </cols>
  <sheetData>
    <row r="1" spans="1:6" ht="18" customHeight="1" x14ac:dyDescent="0.2">
      <c r="A1" s="21" t="s">
        <v>99</v>
      </c>
      <c r="B1" s="20"/>
      <c r="C1" s="20"/>
      <c r="D1" s="20"/>
      <c r="E1" s="20"/>
      <c r="F1" s="20"/>
    </row>
    <row r="2" spans="1:6" x14ac:dyDescent="0.2">
      <c r="A2" s="19" t="s">
        <v>100</v>
      </c>
      <c r="B2" s="20"/>
      <c r="C2" s="20"/>
      <c r="D2" s="20"/>
      <c r="E2" s="20"/>
      <c r="F2" s="20"/>
    </row>
    <row r="4" spans="1:6" x14ac:dyDescent="0.2">
      <c r="A4" s="23" t="s">
        <v>101</v>
      </c>
      <c r="B4" s="20"/>
      <c r="C4" s="20"/>
      <c r="D4" s="20"/>
      <c r="E4" s="20"/>
      <c r="F4" s="20"/>
    </row>
    <row r="5" spans="1:6" ht="15" customHeight="1" x14ac:dyDescent="0.2">
      <c r="A5" s="1" t="s">
        <v>102</v>
      </c>
      <c r="B5" s="22" t="s">
        <v>103</v>
      </c>
      <c r="C5" s="20"/>
      <c r="D5" s="20"/>
      <c r="E5" s="20"/>
      <c r="F5" s="20"/>
    </row>
    <row r="6" spans="1:6" ht="15" customHeight="1" x14ac:dyDescent="0.2">
      <c r="A6" s="1" t="s">
        <v>104</v>
      </c>
      <c r="B6" s="22" t="s">
        <v>105</v>
      </c>
      <c r="C6" s="20"/>
      <c r="D6" s="20"/>
      <c r="E6" s="20"/>
      <c r="F6" s="20"/>
    </row>
    <row r="7" spans="1:6" ht="15" customHeight="1" x14ac:dyDescent="0.2">
      <c r="A7" s="1" t="s">
        <v>106</v>
      </c>
      <c r="B7" s="22" t="s">
        <v>107</v>
      </c>
      <c r="C7" s="20"/>
      <c r="D7" s="20"/>
      <c r="E7" s="20"/>
      <c r="F7" s="20"/>
    </row>
    <row r="8" spans="1:6" ht="15" customHeight="1" x14ac:dyDescent="0.2">
      <c r="A8" s="1" t="s">
        <v>108</v>
      </c>
      <c r="B8" s="22" t="s">
        <v>109</v>
      </c>
      <c r="C8" s="20"/>
      <c r="D8" s="20"/>
      <c r="E8" s="20"/>
      <c r="F8" s="20"/>
    </row>
    <row r="9" spans="1:6" ht="15" customHeight="1" x14ac:dyDescent="0.2">
      <c r="A9" s="1" t="s">
        <v>110</v>
      </c>
      <c r="B9" s="22" t="s">
        <v>111</v>
      </c>
      <c r="C9" s="20"/>
      <c r="D9" s="20"/>
      <c r="E9" s="20"/>
      <c r="F9" s="20"/>
    </row>
    <row r="10" spans="1:6" ht="15" customHeight="1" x14ac:dyDescent="0.2">
      <c r="A10" s="1" t="s">
        <v>112</v>
      </c>
      <c r="B10" s="22" t="s">
        <v>113</v>
      </c>
      <c r="C10" s="20"/>
      <c r="D10" s="20"/>
      <c r="E10" s="20"/>
      <c r="F10" s="20"/>
    </row>
    <row r="11" spans="1:6" ht="15" customHeight="1" x14ac:dyDescent="0.2">
      <c r="A11" s="1"/>
      <c r="B11" s="22"/>
      <c r="C11" s="20"/>
      <c r="D11" s="20"/>
      <c r="E11" s="20"/>
      <c r="F11" s="20"/>
    </row>
    <row r="12" spans="1:6" x14ac:dyDescent="0.2">
      <c r="A12" s="23" t="s">
        <v>114</v>
      </c>
      <c r="B12" s="20"/>
      <c r="C12" s="20"/>
      <c r="D12" s="20"/>
      <c r="E12" s="20"/>
      <c r="F12" s="20"/>
    </row>
    <row r="13" spans="1:6" ht="90" customHeight="1" x14ac:dyDescent="0.2">
      <c r="A13" s="1" t="s">
        <v>115</v>
      </c>
      <c r="B13" s="22" t="s">
        <v>116</v>
      </c>
      <c r="C13" s="20"/>
      <c r="D13" s="20"/>
      <c r="E13" s="20"/>
      <c r="F13" s="20"/>
    </row>
    <row r="14" spans="1:6" ht="75" customHeight="1" x14ac:dyDescent="0.2">
      <c r="A14" s="1" t="s">
        <v>117</v>
      </c>
      <c r="B14" s="22" t="s">
        <v>118</v>
      </c>
      <c r="C14" s="20"/>
      <c r="D14" s="20"/>
      <c r="E14" s="20"/>
      <c r="F14" s="20"/>
    </row>
    <row r="15" spans="1:6" ht="75" customHeight="1" x14ac:dyDescent="0.2">
      <c r="A15" s="1" t="s">
        <v>119</v>
      </c>
      <c r="B15" s="22" t="s">
        <v>120</v>
      </c>
      <c r="C15" s="20"/>
      <c r="D15" s="20"/>
      <c r="E15" s="20"/>
      <c r="F15" s="20"/>
    </row>
    <row r="16" spans="1:6" ht="75" customHeight="1" x14ac:dyDescent="0.2">
      <c r="A16" s="1" t="s">
        <v>121</v>
      </c>
      <c r="B16" s="22" t="s">
        <v>122</v>
      </c>
      <c r="C16" s="20"/>
      <c r="D16" s="20"/>
      <c r="E16" s="20"/>
      <c r="F16" s="20"/>
    </row>
    <row r="17" spans="1:6" ht="45" customHeight="1" x14ac:dyDescent="0.2">
      <c r="A17" s="1" t="s">
        <v>123</v>
      </c>
      <c r="B17" s="22" t="s">
        <v>124</v>
      </c>
      <c r="C17" s="20"/>
      <c r="D17" s="20"/>
      <c r="E17" s="20"/>
      <c r="F17" s="20"/>
    </row>
    <row r="18" spans="1:6" ht="90" customHeight="1" x14ac:dyDescent="0.2">
      <c r="A18" s="1" t="s">
        <v>125</v>
      </c>
      <c r="B18" s="22" t="s">
        <v>126</v>
      </c>
      <c r="C18" s="20"/>
      <c r="D18" s="20"/>
      <c r="E18" s="20"/>
      <c r="F18" s="20"/>
    </row>
    <row r="19" spans="1:6" ht="45" customHeight="1" x14ac:dyDescent="0.2">
      <c r="A19" s="1" t="s">
        <v>127</v>
      </c>
      <c r="B19" s="22" t="s">
        <v>128</v>
      </c>
      <c r="C19" s="20"/>
      <c r="D19" s="20"/>
      <c r="E19" s="20"/>
      <c r="F19" s="20"/>
    </row>
    <row r="20" spans="1:6" ht="60" customHeight="1" x14ac:dyDescent="0.2">
      <c r="A20" s="1" t="s">
        <v>129</v>
      </c>
      <c r="B20" s="22" t="s">
        <v>130</v>
      </c>
      <c r="C20" s="20"/>
      <c r="D20" s="20"/>
      <c r="E20" s="20"/>
      <c r="F20" s="20"/>
    </row>
    <row r="21" spans="1:6" ht="60" customHeight="1" x14ac:dyDescent="0.2">
      <c r="A21" s="1" t="s">
        <v>131</v>
      </c>
      <c r="B21" s="22" t="s">
        <v>132</v>
      </c>
      <c r="C21" s="20"/>
      <c r="D21" s="20"/>
      <c r="E21" s="20"/>
      <c r="F21" s="20"/>
    </row>
    <row r="22" spans="1:6" ht="60" customHeight="1" x14ac:dyDescent="0.2">
      <c r="A22" s="1" t="s">
        <v>133</v>
      </c>
      <c r="B22" s="22" t="s">
        <v>134</v>
      </c>
      <c r="C22" s="20"/>
      <c r="D22" s="20"/>
      <c r="E22" s="20"/>
      <c r="F22" s="20"/>
    </row>
    <row r="24" spans="1:6" ht="70" x14ac:dyDescent="0.2">
      <c r="A24" s="16" t="s">
        <v>135</v>
      </c>
      <c r="B24" s="17" t="s">
        <v>136</v>
      </c>
    </row>
  </sheetData>
  <mergeCells count="21">
    <mergeCell ref="A1:F1"/>
    <mergeCell ref="B5:F5"/>
    <mergeCell ref="A2:F2"/>
    <mergeCell ref="B11:F11"/>
    <mergeCell ref="A4:F4"/>
    <mergeCell ref="B14:F14"/>
    <mergeCell ref="B8:F8"/>
    <mergeCell ref="B13:F13"/>
    <mergeCell ref="B10:F10"/>
    <mergeCell ref="B9:F9"/>
    <mergeCell ref="B6:F6"/>
    <mergeCell ref="B7:F7"/>
    <mergeCell ref="B16:F16"/>
    <mergeCell ref="A12:F12"/>
    <mergeCell ref="B22:F22"/>
    <mergeCell ref="B18:F18"/>
    <mergeCell ref="B21:F21"/>
    <mergeCell ref="B17:F17"/>
    <mergeCell ref="B19:F19"/>
    <mergeCell ref="B20:F20"/>
    <mergeCell ref="B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"/>
  <sheetViews>
    <sheetView showGridLines="0" zoomScaleNormal="100" workbookViewId="0">
      <pane ySplit="4" topLeftCell="A5" activePane="bottomLeft" state="frozen"/>
      <selection pane="bottomLeft" sqref="A1:C1"/>
    </sheetView>
  </sheetViews>
  <sheetFormatPr baseColWidth="10" defaultColWidth="8.6640625" defaultRowHeight="15" x14ac:dyDescent="0.2"/>
  <cols>
    <col min="1" max="1" width="10" customWidth="1"/>
    <col min="2" max="2" width="45" customWidth="1"/>
    <col min="3" max="3" width="16" customWidth="1"/>
  </cols>
  <sheetData>
    <row r="1" spans="1:3" ht="18" customHeight="1" x14ac:dyDescent="0.2">
      <c r="A1" s="21" t="s">
        <v>137</v>
      </c>
      <c r="B1" s="20"/>
      <c r="C1" s="20"/>
    </row>
    <row r="2" spans="1:3" x14ac:dyDescent="0.2">
      <c r="A2" s="19" t="s">
        <v>138</v>
      </c>
      <c r="B2" s="20"/>
      <c r="C2" s="20"/>
    </row>
    <row r="4" spans="1:3" x14ac:dyDescent="0.2">
      <c r="A4" s="2" t="s">
        <v>139</v>
      </c>
      <c r="B4" s="2" t="s">
        <v>140</v>
      </c>
      <c r="C4" s="2" t="s">
        <v>141</v>
      </c>
    </row>
    <row r="5" spans="1:3" x14ac:dyDescent="0.2">
      <c r="A5" s="24" t="s">
        <v>142</v>
      </c>
      <c r="B5" s="25"/>
      <c r="C5" s="26"/>
    </row>
    <row r="6" spans="1:3" x14ac:dyDescent="0.2">
      <c r="A6" s="3">
        <v>400</v>
      </c>
      <c r="B6" s="3" t="s">
        <v>143</v>
      </c>
      <c r="C6" s="3" t="s">
        <v>144</v>
      </c>
    </row>
    <row r="7" spans="1:3" x14ac:dyDescent="0.2">
      <c r="A7" s="3">
        <v>410</v>
      </c>
      <c r="B7" s="3" t="s">
        <v>145</v>
      </c>
      <c r="C7" s="3" t="s">
        <v>144</v>
      </c>
    </row>
    <row r="8" spans="1:3" x14ac:dyDescent="0.2">
      <c r="A8" s="3">
        <v>420</v>
      </c>
      <c r="B8" s="3" t="s">
        <v>146</v>
      </c>
      <c r="C8" s="3" t="s">
        <v>144</v>
      </c>
    </row>
    <row r="9" spans="1:3" x14ac:dyDescent="0.2">
      <c r="A9" s="3">
        <v>430</v>
      </c>
      <c r="B9" s="3" t="s">
        <v>147</v>
      </c>
      <c r="C9" s="3" t="s">
        <v>144</v>
      </c>
    </row>
    <row r="10" spans="1:3" x14ac:dyDescent="0.2">
      <c r="A10" s="3">
        <v>440</v>
      </c>
      <c r="B10" s="3" t="s">
        <v>148</v>
      </c>
      <c r="C10" s="3" t="s">
        <v>144</v>
      </c>
    </row>
    <row r="11" spans="1:3" x14ac:dyDescent="0.2">
      <c r="A11" s="24" t="s">
        <v>149</v>
      </c>
      <c r="B11" s="25"/>
      <c r="C11" s="26"/>
    </row>
    <row r="12" spans="1:3" x14ac:dyDescent="0.2">
      <c r="A12" s="3">
        <v>500</v>
      </c>
      <c r="B12" s="3" t="s">
        <v>150</v>
      </c>
      <c r="C12" s="3" t="s">
        <v>151</v>
      </c>
    </row>
    <row r="13" spans="1:3" x14ac:dyDescent="0.2">
      <c r="A13" s="3">
        <v>510</v>
      </c>
      <c r="B13" s="3" t="s">
        <v>152</v>
      </c>
      <c r="C13" s="3" t="s">
        <v>151</v>
      </c>
    </row>
    <row r="14" spans="1:3" x14ac:dyDescent="0.2">
      <c r="A14" s="3">
        <v>520</v>
      </c>
      <c r="B14" s="3" t="s">
        <v>153</v>
      </c>
      <c r="C14" s="3" t="s">
        <v>151</v>
      </c>
    </row>
    <row r="15" spans="1:3" x14ac:dyDescent="0.2">
      <c r="A15" s="3">
        <v>530</v>
      </c>
      <c r="B15" s="3" t="s">
        <v>154</v>
      </c>
      <c r="C15" s="3" t="s">
        <v>151</v>
      </c>
    </row>
    <row r="16" spans="1:3" x14ac:dyDescent="0.2">
      <c r="A16" s="3">
        <v>540</v>
      </c>
      <c r="B16" s="3" t="s">
        <v>155</v>
      </c>
      <c r="C16" s="3" t="s">
        <v>151</v>
      </c>
    </row>
    <row r="17" spans="1:3" x14ac:dyDescent="0.2">
      <c r="A17" s="24" t="s">
        <v>156</v>
      </c>
      <c r="B17" s="25"/>
      <c r="C17" s="26"/>
    </row>
    <row r="18" spans="1:3" x14ac:dyDescent="0.2">
      <c r="A18" s="3">
        <v>600</v>
      </c>
      <c r="B18" s="3" t="s">
        <v>157</v>
      </c>
      <c r="C18" s="3" t="s">
        <v>158</v>
      </c>
    </row>
    <row r="19" spans="1:3" x14ac:dyDescent="0.2">
      <c r="A19" s="3">
        <v>610</v>
      </c>
      <c r="B19" s="3" t="s">
        <v>159</v>
      </c>
      <c r="C19" s="3" t="s">
        <v>158</v>
      </c>
    </row>
    <row r="20" spans="1:3" x14ac:dyDescent="0.2">
      <c r="A20" s="3">
        <v>620</v>
      </c>
      <c r="B20" s="3" t="s">
        <v>160</v>
      </c>
      <c r="C20" s="3" t="s">
        <v>158</v>
      </c>
    </row>
    <row r="21" spans="1:3" x14ac:dyDescent="0.2">
      <c r="A21" s="3">
        <v>630</v>
      </c>
      <c r="B21" s="3" t="s">
        <v>161</v>
      </c>
      <c r="C21" s="3" t="s">
        <v>158</v>
      </c>
    </row>
    <row r="22" spans="1:3" x14ac:dyDescent="0.2">
      <c r="A22" s="3">
        <v>640</v>
      </c>
      <c r="B22" s="3" t="s">
        <v>162</v>
      </c>
      <c r="C22" s="3" t="s">
        <v>158</v>
      </c>
    </row>
    <row r="23" spans="1:3" x14ac:dyDescent="0.2">
      <c r="A23" s="3">
        <v>650</v>
      </c>
      <c r="B23" s="3" t="s">
        <v>163</v>
      </c>
      <c r="C23" s="3" t="s">
        <v>158</v>
      </c>
    </row>
    <row r="24" spans="1:3" x14ac:dyDescent="0.2">
      <c r="A24" s="3">
        <v>660</v>
      </c>
      <c r="B24" s="3" t="s">
        <v>164</v>
      </c>
      <c r="C24" s="3" t="s">
        <v>158</v>
      </c>
    </row>
    <row r="25" spans="1:3" x14ac:dyDescent="0.2">
      <c r="A25" s="3">
        <v>670</v>
      </c>
      <c r="B25" s="3" t="s">
        <v>165</v>
      </c>
      <c r="C25" s="3" t="s">
        <v>158</v>
      </c>
    </row>
    <row r="26" spans="1:3" x14ac:dyDescent="0.2">
      <c r="A26" s="3">
        <v>671</v>
      </c>
      <c r="B26" s="3" t="s">
        <v>166</v>
      </c>
      <c r="C26" s="3" t="s">
        <v>158</v>
      </c>
    </row>
    <row r="27" spans="1:3" x14ac:dyDescent="0.2">
      <c r="A27" s="3">
        <v>680</v>
      </c>
      <c r="B27" s="3" t="s">
        <v>167</v>
      </c>
      <c r="C27" s="3" t="s">
        <v>158</v>
      </c>
    </row>
    <row r="28" spans="1:3" x14ac:dyDescent="0.2">
      <c r="A28" s="24" t="s">
        <v>168</v>
      </c>
      <c r="B28" s="25"/>
      <c r="C28" s="26"/>
    </row>
    <row r="29" spans="1:3" x14ac:dyDescent="0.2">
      <c r="A29" s="3">
        <v>700</v>
      </c>
      <c r="B29" s="3" t="s">
        <v>169</v>
      </c>
      <c r="C29" s="3" t="s">
        <v>170</v>
      </c>
    </row>
    <row r="30" spans="1:3" x14ac:dyDescent="0.2">
      <c r="A30" s="3">
        <v>705</v>
      </c>
      <c r="B30" s="3" t="s">
        <v>171</v>
      </c>
      <c r="C30" s="3" t="s">
        <v>170</v>
      </c>
    </row>
    <row r="31" spans="1:3" x14ac:dyDescent="0.2">
      <c r="A31" s="3">
        <v>710</v>
      </c>
      <c r="B31" s="3" t="s">
        <v>172</v>
      </c>
      <c r="C31" s="3" t="s">
        <v>170</v>
      </c>
    </row>
    <row r="32" spans="1:3" x14ac:dyDescent="0.2">
      <c r="A32" s="3">
        <v>715</v>
      </c>
      <c r="B32" s="3" t="s">
        <v>173</v>
      </c>
      <c r="C32" s="3" t="s">
        <v>170</v>
      </c>
    </row>
    <row r="33" spans="1:3" x14ac:dyDescent="0.2">
      <c r="A33" s="3">
        <v>720</v>
      </c>
      <c r="B33" s="3" t="s">
        <v>174</v>
      </c>
      <c r="C33" s="3" t="s">
        <v>170</v>
      </c>
    </row>
    <row r="34" spans="1:3" x14ac:dyDescent="0.2">
      <c r="A34" s="3">
        <v>725</v>
      </c>
      <c r="B34" s="3" t="s">
        <v>175</v>
      </c>
      <c r="C34" s="3" t="s">
        <v>170</v>
      </c>
    </row>
    <row r="35" spans="1:3" x14ac:dyDescent="0.2">
      <c r="A35" s="24" t="s">
        <v>176</v>
      </c>
      <c r="B35" s="25"/>
      <c r="C35" s="26"/>
    </row>
    <row r="36" spans="1:3" x14ac:dyDescent="0.2">
      <c r="A36" s="3">
        <v>800</v>
      </c>
      <c r="B36" s="3" t="s">
        <v>177</v>
      </c>
      <c r="C36" s="3" t="s">
        <v>178</v>
      </c>
    </row>
    <row r="37" spans="1:3" x14ac:dyDescent="0.2">
      <c r="A37" s="3">
        <v>810</v>
      </c>
      <c r="B37" s="3" t="s">
        <v>179</v>
      </c>
      <c r="C37" s="3" t="s">
        <v>180</v>
      </c>
    </row>
    <row r="38" spans="1:3" x14ac:dyDescent="0.2">
      <c r="A38" s="3">
        <v>820</v>
      </c>
      <c r="B38" s="3" t="s">
        <v>181</v>
      </c>
      <c r="C38" s="3" t="s">
        <v>182</v>
      </c>
    </row>
    <row r="39" spans="1:3" x14ac:dyDescent="0.2">
      <c r="A39" s="3">
        <v>830</v>
      </c>
      <c r="B39" s="3" t="s">
        <v>183</v>
      </c>
      <c r="C39" s="3" t="s">
        <v>182</v>
      </c>
    </row>
    <row r="40" spans="1:3" x14ac:dyDescent="0.2">
      <c r="A40" s="3">
        <v>840</v>
      </c>
      <c r="B40" s="3" t="s">
        <v>184</v>
      </c>
      <c r="C40" s="3" t="s">
        <v>182</v>
      </c>
    </row>
    <row r="41" spans="1:3" x14ac:dyDescent="0.2">
      <c r="A41" s="3">
        <v>850</v>
      </c>
      <c r="B41" s="3" t="s">
        <v>185</v>
      </c>
      <c r="C41" s="3" t="s">
        <v>182</v>
      </c>
    </row>
    <row r="42" spans="1:3" x14ac:dyDescent="0.2">
      <c r="A42" s="24" t="s">
        <v>186</v>
      </c>
      <c r="B42" s="25"/>
      <c r="C42" s="26"/>
    </row>
    <row r="43" spans="1:3" x14ac:dyDescent="0.2">
      <c r="A43" s="3">
        <v>900</v>
      </c>
      <c r="B43" s="3" t="s">
        <v>187</v>
      </c>
      <c r="C43" s="3" t="s">
        <v>188</v>
      </c>
    </row>
    <row r="44" spans="1:3" x14ac:dyDescent="0.2">
      <c r="A44" s="3">
        <v>910</v>
      </c>
      <c r="B44" s="3" t="s">
        <v>189</v>
      </c>
      <c r="C44" s="3" t="s">
        <v>188</v>
      </c>
    </row>
  </sheetData>
  <mergeCells count="8">
    <mergeCell ref="A28:C28"/>
    <mergeCell ref="A42:C42"/>
    <mergeCell ref="A11:C11"/>
    <mergeCell ref="A1:C1"/>
    <mergeCell ref="A5:C5"/>
    <mergeCell ref="A17:C17"/>
    <mergeCell ref="A35:C35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8"/>
  <sheetViews>
    <sheetView showGridLines="0" zoomScale="90" zoomScaleNormal="100" workbookViewId="0">
      <pane ySplit="4" topLeftCell="A5" activePane="bottomLeft" state="frozen"/>
      <selection pane="bottomLeft" activeCell="G10" sqref="G10"/>
    </sheetView>
  </sheetViews>
  <sheetFormatPr baseColWidth="10" defaultColWidth="8.6640625" defaultRowHeight="15" x14ac:dyDescent="0.2"/>
  <cols>
    <col min="1" max="1" width="11" customWidth="1"/>
    <col min="2" max="2" width="24" customWidth="1"/>
    <col min="3" max="3" width="13" customWidth="1"/>
    <col min="4" max="4" width="38" customWidth="1"/>
    <col min="5" max="8" width="13" customWidth="1"/>
    <col min="9" max="9" width="12" customWidth="1"/>
    <col min="10" max="11" width="13" customWidth="1"/>
    <col min="12" max="12" width="44.6640625" customWidth="1"/>
  </cols>
  <sheetData>
    <row r="1" spans="1:12" ht="18" customHeight="1" x14ac:dyDescent="0.2">
      <c r="A1" s="21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x14ac:dyDescent="0.2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4" spans="1:12" ht="28" customHeight="1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</row>
    <row r="5" spans="1:12" x14ac:dyDescent="0.2">
      <c r="A5" s="3" t="s">
        <v>14</v>
      </c>
      <c r="B5" s="3" t="s">
        <v>15</v>
      </c>
      <c r="C5" s="3" t="s">
        <v>16</v>
      </c>
      <c r="D5" s="3" t="s">
        <v>17</v>
      </c>
      <c r="E5" s="4">
        <v>45671</v>
      </c>
      <c r="F5" s="4">
        <v>45675</v>
      </c>
      <c r="G5" s="4">
        <v>45682</v>
      </c>
      <c r="H5" s="5">
        <v>11000</v>
      </c>
      <c r="I5" s="6">
        <v>0</v>
      </c>
      <c r="J5" s="7">
        <f t="shared" ref="J5:J35" si="0">H5*I5</f>
        <v>0</v>
      </c>
      <c r="K5" s="7">
        <f t="shared" ref="K5:K35" si="1">H5+J5</f>
        <v>11000</v>
      </c>
      <c r="L5" s="8"/>
    </row>
    <row r="6" spans="1:12" x14ac:dyDescent="0.2">
      <c r="A6" s="3" t="s">
        <v>18</v>
      </c>
      <c r="B6" s="3" t="s">
        <v>19</v>
      </c>
      <c r="C6" s="3" t="s">
        <v>16</v>
      </c>
      <c r="D6" s="3" t="s">
        <v>17</v>
      </c>
      <c r="E6" s="4">
        <v>45679</v>
      </c>
      <c r="F6" s="4">
        <v>45685</v>
      </c>
      <c r="G6" s="4">
        <v>45693</v>
      </c>
      <c r="H6" s="5">
        <v>10500</v>
      </c>
      <c r="I6" s="6">
        <v>0</v>
      </c>
      <c r="J6" s="7">
        <f t="shared" si="0"/>
        <v>0</v>
      </c>
      <c r="K6" s="7">
        <f t="shared" si="1"/>
        <v>10500</v>
      </c>
      <c r="L6" s="8"/>
    </row>
    <row r="7" spans="1:12" x14ac:dyDescent="0.2">
      <c r="A7" s="3" t="s">
        <v>20</v>
      </c>
      <c r="B7" s="3" t="s">
        <v>21</v>
      </c>
      <c r="C7" s="3" t="s">
        <v>22</v>
      </c>
      <c r="D7" s="3" t="s">
        <v>23</v>
      </c>
      <c r="E7" s="4">
        <v>45693</v>
      </c>
      <c r="F7" s="4">
        <v>45698</v>
      </c>
      <c r="G7" s="4">
        <v>45708</v>
      </c>
      <c r="H7" s="5">
        <v>28000</v>
      </c>
      <c r="I7" s="6">
        <v>0.23</v>
      </c>
      <c r="J7" s="7">
        <f t="shared" si="0"/>
        <v>6440</v>
      </c>
      <c r="K7" s="7">
        <f t="shared" si="1"/>
        <v>34440</v>
      </c>
      <c r="L7" s="8"/>
    </row>
    <row r="8" spans="1:12" x14ac:dyDescent="0.2">
      <c r="A8" s="3" t="s">
        <v>24</v>
      </c>
      <c r="B8" s="3" t="s">
        <v>25</v>
      </c>
      <c r="C8" s="3" t="s">
        <v>16</v>
      </c>
      <c r="D8" s="3" t="s">
        <v>26</v>
      </c>
      <c r="E8" s="4">
        <v>45706</v>
      </c>
      <c r="F8" s="4">
        <v>45710</v>
      </c>
      <c r="G8" s="4">
        <v>45717</v>
      </c>
      <c r="H8" s="5">
        <v>9800</v>
      </c>
      <c r="I8" s="6">
        <v>0</v>
      </c>
      <c r="J8" s="7">
        <f t="shared" si="0"/>
        <v>0</v>
      </c>
      <c r="K8" s="7">
        <f t="shared" si="1"/>
        <v>9800</v>
      </c>
      <c r="L8" s="8"/>
    </row>
    <row r="9" spans="1:12" x14ac:dyDescent="0.2">
      <c r="A9" s="3" t="s">
        <v>27</v>
      </c>
      <c r="B9" s="3" t="s">
        <v>28</v>
      </c>
      <c r="C9" s="3" t="s">
        <v>22</v>
      </c>
      <c r="D9" s="3" t="s">
        <v>29</v>
      </c>
      <c r="E9" s="4">
        <v>45726</v>
      </c>
      <c r="F9" s="4">
        <v>45731</v>
      </c>
      <c r="G9" s="4">
        <v>45741</v>
      </c>
      <c r="H9" s="5">
        <v>32500</v>
      </c>
      <c r="I9" s="6">
        <v>0.23</v>
      </c>
      <c r="J9" s="7">
        <f t="shared" si="0"/>
        <v>7475</v>
      </c>
      <c r="K9" s="7">
        <f t="shared" si="1"/>
        <v>39975</v>
      </c>
      <c r="L9" s="8"/>
    </row>
    <row r="10" spans="1:12" x14ac:dyDescent="0.2">
      <c r="A10" s="3" t="s">
        <v>30</v>
      </c>
      <c r="B10" s="3" t="s">
        <v>31</v>
      </c>
      <c r="C10" s="3" t="s">
        <v>16</v>
      </c>
      <c r="D10" s="3" t="s">
        <v>17</v>
      </c>
      <c r="E10" s="4">
        <v>45736</v>
      </c>
      <c r="F10" s="4">
        <v>45741</v>
      </c>
      <c r="G10" s="4">
        <v>45749</v>
      </c>
      <c r="H10" s="5">
        <v>13200</v>
      </c>
      <c r="I10" s="6">
        <v>0</v>
      </c>
      <c r="J10" s="7">
        <f t="shared" si="0"/>
        <v>0</v>
      </c>
      <c r="K10" s="7">
        <f t="shared" si="1"/>
        <v>13200</v>
      </c>
      <c r="L10" s="8"/>
    </row>
    <row r="11" spans="1:12" x14ac:dyDescent="0.2">
      <c r="A11" s="3" t="s">
        <v>32</v>
      </c>
      <c r="B11" s="3" t="s">
        <v>33</v>
      </c>
      <c r="C11" s="3" t="s">
        <v>22</v>
      </c>
      <c r="D11" s="3" t="s">
        <v>34</v>
      </c>
      <c r="E11" s="4">
        <v>45749</v>
      </c>
      <c r="F11" s="4">
        <v>45755</v>
      </c>
      <c r="G11" s="4">
        <v>45765</v>
      </c>
      <c r="H11" s="5">
        <v>41000</v>
      </c>
      <c r="I11" s="6">
        <v>0.23</v>
      </c>
      <c r="J11" s="7">
        <f t="shared" si="0"/>
        <v>9430</v>
      </c>
      <c r="K11" s="7">
        <f t="shared" si="1"/>
        <v>50430</v>
      </c>
      <c r="L11" s="8"/>
    </row>
    <row r="12" spans="1:12" x14ac:dyDescent="0.2">
      <c r="A12" s="3" t="s">
        <v>35</v>
      </c>
      <c r="B12" s="3" t="s">
        <v>36</v>
      </c>
      <c r="C12" s="3" t="s">
        <v>16</v>
      </c>
      <c r="D12" s="3" t="s">
        <v>17</v>
      </c>
      <c r="E12" s="4">
        <v>45762</v>
      </c>
      <c r="F12" s="4">
        <v>45767</v>
      </c>
      <c r="G12" s="4">
        <v>45775</v>
      </c>
      <c r="H12" s="5">
        <v>12400</v>
      </c>
      <c r="I12" s="6">
        <v>0</v>
      </c>
      <c r="J12" s="7">
        <f t="shared" si="0"/>
        <v>0</v>
      </c>
      <c r="K12" s="7">
        <f t="shared" si="1"/>
        <v>12400</v>
      </c>
      <c r="L12" s="8"/>
    </row>
    <row r="13" spans="1:12" x14ac:dyDescent="0.2">
      <c r="A13" s="3" t="s">
        <v>37</v>
      </c>
      <c r="B13" s="3" t="s">
        <v>38</v>
      </c>
      <c r="C13" s="3" t="s">
        <v>22</v>
      </c>
      <c r="D13" s="3" t="s">
        <v>39</v>
      </c>
      <c r="E13" s="4">
        <v>45775</v>
      </c>
      <c r="F13" s="4">
        <v>45780</v>
      </c>
      <c r="G13" s="4">
        <v>45789</v>
      </c>
      <c r="H13" s="5">
        <v>26800</v>
      </c>
      <c r="I13" s="6">
        <v>0.23</v>
      </c>
      <c r="J13" s="7">
        <f t="shared" si="0"/>
        <v>6164</v>
      </c>
      <c r="K13" s="7">
        <f t="shared" si="1"/>
        <v>32964</v>
      </c>
      <c r="L13" s="8"/>
    </row>
    <row r="14" spans="1:12" x14ac:dyDescent="0.2">
      <c r="A14" s="3" t="s">
        <v>40</v>
      </c>
      <c r="B14" s="3" t="s">
        <v>41</v>
      </c>
      <c r="C14" s="3" t="s">
        <v>16</v>
      </c>
      <c r="D14" s="3" t="s">
        <v>42</v>
      </c>
      <c r="E14" s="4">
        <v>45787</v>
      </c>
      <c r="F14" s="4">
        <v>45791</v>
      </c>
      <c r="G14" s="4">
        <v>45799</v>
      </c>
      <c r="H14" s="5">
        <v>14500</v>
      </c>
      <c r="I14" s="6">
        <v>0</v>
      </c>
      <c r="J14" s="7">
        <f t="shared" si="0"/>
        <v>0</v>
      </c>
      <c r="K14" s="7">
        <f t="shared" si="1"/>
        <v>14500</v>
      </c>
      <c r="L14" s="9" t="s">
        <v>43</v>
      </c>
    </row>
    <row r="15" spans="1:12" x14ac:dyDescent="0.2">
      <c r="A15" s="3" t="s">
        <v>44</v>
      </c>
      <c r="B15" s="3" t="s">
        <v>45</v>
      </c>
      <c r="C15" s="3" t="s">
        <v>16</v>
      </c>
      <c r="D15" s="3" t="s">
        <v>46</v>
      </c>
      <c r="E15" s="4">
        <v>45799</v>
      </c>
      <c r="F15" s="4">
        <v>45804</v>
      </c>
      <c r="G15" s="4">
        <v>45813</v>
      </c>
      <c r="H15" s="5">
        <v>9200</v>
      </c>
      <c r="I15" s="6">
        <v>0</v>
      </c>
      <c r="J15" s="7">
        <f t="shared" si="0"/>
        <v>0</v>
      </c>
      <c r="K15" s="7">
        <f t="shared" si="1"/>
        <v>9200</v>
      </c>
      <c r="L15" s="8"/>
    </row>
    <row r="16" spans="1:12" x14ac:dyDescent="0.2">
      <c r="A16" s="3" t="s">
        <v>47</v>
      </c>
      <c r="B16" s="3" t="s">
        <v>48</v>
      </c>
      <c r="C16" s="3" t="s">
        <v>22</v>
      </c>
      <c r="D16" s="3" t="s">
        <v>49</v>
      </c>
      <c r="E16" s="4">
        <v>45812</v>
      </c>
      <c r="F16" s="4">
        <v>45817</v>
      </c>
      <c r="G16" s="4">
        <v>45827</v>
      </c>
      <c r="H16" s="5">
        <v>35600</v>
      </c>
      <c r="I16" s="6">
        <v>0.23</v>
      </c>
      <c r="J16" s="7">
        <f t="shared" si="0"/>
        <v>8188</v>
      </c>
      <c r="K16" s="7">
        <f t="shared" si="1"/>
        <v>43788</v>
      </c>
      <c r="L16" s="8"/>
    </row>
    <row r="17" spans="1:12" x14ac:dyDescent="0.2">
      <c r="A17" s="3" t="s">
        <v>50</v>
      </c>
      <c r="B17" s="3" t="s">
        <v>51</v>
      </c>
      <c r="C17" s="3" t="s">
        <v>16</v>
      </c>
      <c r="D17" s="3" t="s">
        <v>17</v>
      </c>
      <c r="E17" s="4">
        <v>45824</v>
      </c>
      <c r="F17" s="4">
        <v>45828</v>
      </c>
      <c r="G17" s="4">
        <v>45838</v>
      </c>
      <c r="H17" s="5">
        <v>11900</v>
      </c>
      <c r="I17" s="6">
        <v>0</v>
      </c>
      <c r="J17" s="7">
        <f t="shared" si="0"/>
        <v>0</v>
      </c>
      <c r="K17" s="7">
        <f t="shared" si="1"/>
        <v>11900</v>
      </c>
      <c r="L17" s="8"/>
    </row>
    <row r="18" spans="1:12" x14ac:dyDescent="0.2">
      <c r="A18" s="3" t="s">
        <v>52</v>
      </c>
      <c r="B18" s="3" t="s">
        <v>53</v>
      </c>
      <c r="C18" s="3" t="s">
        <v>22</v>
      </c>
      <c r="D18" s="3" t="s">
        <v>39</v>
      </c>
      <c r="E18" s="4">
        <v>45836</v>
      </c>
      <c r="F18" s="4">
        <v>45841</v>
      </c>
      <c r="G18" s="4">
        <v>45850</v>
      </c>
      <c r="H18" s="5">
        <v>29400</v>
      </c>
      <c r="I18" s="6">
        <v>0.23</v>
      </c>
      <c r="J18" s="7">
        <f t="shared" si="0"/>
        <v>6762</v>
      </c>
      <c r="K18" s="7">
        <f t="shared" si="1"/>
        <v>36162</v>
      </c>
      <c r="L18" s="8"/>
    </row>
    <row r="19" spans="1:12" x14ac:dyDescent="0.2">
      <c r="A19" s="3" t="s">
        <v>54</v>
      </c>
      <c r="B19" s="3" t="s">
        <v>55</v>
      </c>
      <c r="C19" s="3" t="s">
        <v>16</v>
      </c>
      <c r="D19" s="3" t="s">
        <v>17</v>
      </c>
      <c r="E19" s="4">
        <v>45848</v>
      </c>
      <c r="F19" s="4">
        <v>45852</v>
      </c>
      <c r="G19" s="4"/>
      <c r="H19" s="5">
        <v>12000</v>
      </c>
      <c r="I19" s="6">
        <v>0.23</v>
      </c>
      <c r="J19" s="7">
        <f t="shared" si="0"/>
        <v>2760</v>
      </c>
      <c r="K19" s="7">
        <f t="shared" si="1"/>
        <v>14760</v>
      </c>
      <c r="L19" s="9" t="s">
        <v>56</v>
      </c>
    </row>
    <row r="20" spans="1:12" x14ac:dyDescent="0.2">
      <c r="A20" s="3" t="s">
        <v>57</v>
      </c>
      <c r="B20" s="3" t="s">
        <v>58</v>
      </c>
      <c r="C20" s="3" t="s">
        <v>22</v>
      </c>
      <c r="D20" s="3" t="s">
        <v>59</v>
      </c>
      <c r="E20" s="4">
        <v>45860</v>
      </c>
      <c r="F20" s="4">
        <v>45865</v>
      </c>
      <c r="G20" s="4">
        <v>45874</v>
      </c>
      <c r="H20" s="5">
        <v>45200</v>
      </c>
      <c r="I20" s="6">
        <v>0.23</v>
      </c>
      <c r="J20" s="7">
        <f t="shared" si="0"/>
        <v>10396</v>
      </c>
      <c r="K20" s="7">
        <f t="shared" si="1"/>
        <v>55596</v>
      </c>
      <c r="L20" s="8"/>
    </row>
    <row r="21" spans="1:12" x14ac:dyDescent="0.2">
      <c r="A21" s="3" t="s">
        <v>60</v>
      </c>
      <c r="B21" s="3" t="s">
        <v>61</v>
      </c>
      <c r="C21" s="3" t="s">
        <v>16</v>
      </c>
      <c r="D21" s="3" t="s">
        <v>17</v>
      </c>
      <c r="E21" s="4">
        <v>45872</v>
      </c>
      <c r="F21" s="4">
        <v>45877</v>
      </c>
      <c r="G21" s="4">
        <v>45885</v>
      </c>
      <c r="H21" s="5">
        <v>10800</v>
      </c>
      <c r="I21" s="6">
        <v>0</v>
      </c>
      <c r="J21" s="7">
        <f t="shared" si="0"/>
        <v>0</v>
      </c>
      <c r="K21" s="7">
        <f t="shared" si="1"/>
        <v>10800</v>
      </c>
      <c r="L21" s="8"/>
    </row>
    <row r="22" spans="1:12" x14ac:dyDescent="0.2">
      <c r="A22" s="3" t="s">
        <v>62</v>
      </c>
      <c r="B22" s="3" t="s">
        <v>63</v>
      </c>
      <c r="C22" s="3" t="s">
        <v>22</v>
      </c>
      <c r="D22" s="3" t="s">
        <v>64</v>
      </c>
      <c r="E22" s="4">
        <v>45884</v>
      </c>
      <c r="F22" s="4">
        <v>45889</v>
      </c>
      <c r="G22" s="4">
        <v>45897</v>
      </c>
      <c r="H22" s="5">
        <v>33000</v>
      </c>
      <c r="I22" s="6">
        <v>0.23</v>
      </c>
      <c r="J22" s="7">
        <f t="shared" si="0"/>
        <v>7590</v>
      </c>
      <c r="K22" s="7">
        <f t="shared" si="1"/>
        <v>40590</v>
      </c>
      <c r="L22" s="8"/>
    </row>
    <row r="23" spans="1:12" x14ac:dyDescent="0.2">
      <c r="A23" s="3" t="s">
        <v>65</v>
      </c>
      <c r="B23" s="3" t="s">
        <v>66</v>
      </c>
      <c r="C23" s="3" t="s">
        <v>16</v>
      </c>
      <c r="D23" s="3" t="s">
        <v>17</v>
      </c>
      <c r="E23" s="4">
        <v>45896</v>
      </c>
      <c r="F23" s="4">
        <v>45901</v>
      </c>
      <c r="G23" s="4">
        <v>45909</v>
      </c>
      <c r="H23" s="5">
        <v>13600</v>
      </c>
      <c r="I23" s="6">
        <v>0</v>
      </c>
      <c r="J23" s="7">
        <f t="shared" si="0"/>
        <v>0</v>
      </c>
      <c r="K23" s="7">
        <f t="shared" si="1"/>
        <v>13600</v>
      </c>
      <c r="L23" s="8"/>
    </row>
    <row r="24" spans="1:12" x14ac:dyDescent="0.2">
      <c r="A24" s="3" t="s">
        <v>67</v>
      </c>
      <c r="B24" s="3" t="s">
        <v>68</v>
      </c>
      <c r="C24" s="3" t="s">
        <v>22</v>
      </c>
      <c r="D24" s="3" t="s">
        <v>59</v>
      </c>
      <c r="E24" s="4">
        <v>45908</v>
      </c>
      <c r="F24" s="4">
        <v>45913</v>
      </c>
      <c r="G24" s="4">
        <v>45922</v>
      </c>
      <c r="H24" s="5">
        <v>38500</v>
      </c>
      <c r="I24" s="6">
        <v>0.23</v>
      </c>
      <c r="J24" s="7">
        <f t="shared" si="0"/>
        <v>8855</v>
      </c>
      <c r="K24" s="7">
        <f t="shared" si="1"/>
        <v>47355</v>
      </c>
      <c r="L24" s="8"/>
    </row>
    <row r="25" spans="1:12" x14ac:dyDescent="0.2">
      <c r="A25" s="3" t="s">
        <v>69</v>
      </c>
      <c r="B25" s="3" t="s">
        <v>70</v>
      </c>
      <c r="C25" s="3" t="s">
        <v>16</v>
      </c>
      <c r="D25" s="3" t="s">
        <v>17</v>
      </c>
      <c r="E25" s="4">
        <v>45920</v>
      </c>
      <c r="F25" s="4">
        <v>45925</v>
      </c>
      <c r="G25" s="4">
        <v>45933</v>
      </c>
      <c r="H25" s="5">
        <v>11300</v>
      </c>
      <c r="I25" s="6">
        <v>0</v>
      </c>
      <c r="J25" s="7">
        <f t="shared" si="0"/>
        <v>0</v>
      </c>
      <c r="K25" s="7">
        <f t="shared" si="1"/>
        <v>11300</v>
      </c>
      <c r="L25" s="8"/>
    </row>
    <row r="26" spans="1:12" x14ac:dyDescent="0.2">
      <c r="A26" s="3" t="s">
        <v>71</v>
      </c>
      <c r="B26" s="3" t="s">
        <v>72</v>
      </c>
      <c r="C26" s="3" t="s">
        <v>22</v>
      </c>
      <c r="D26" s="3" t="s">
        <v>59</v>
      </c>
      <c r="E26" s="4">
        <v>45932</v>
      </c>
      <c r="F26" s="4">
        <v>45937</v>
      </c>
      <c r="G26" s="4"/>
      <c r="H26" s="5">
        <v>26000</v>
      </c>
      <c r="I26" s="6">
        <v>0</v>
      </c>
      <c r="J26" s="7">
        <f t="shared" si="0"/>
        <v>0</v>
      </c>
      <c r="K26" s="7">
        <f t="shared" si="1"/>
        <v>26000</v>
      </c>
      <c r="L26" s="9" t="s">
        <v>73</v>
      </c>
    </row>
    <row r="27" spans="1:12" x14ac:dyDescent="0.2">
      <c r="A27" s="3" t="s">
        <v>74</v>
      </c>
      <c r="B27" s="3" t="s">
        <v>75</v>
      </c>
      <c r="C27" s="3" t="s">
        <v>16</v>
      </c>
      <c r="D27" s="3" t="s">
        <v>17</v>
      </c>
      <c r="E27" s="4">
        <v>45944</v>
      </c>
      <c r="F27" s="4">
        <v>45949</v>
      </c>
      <c r="G27" s="4">
        <v>45958</v>
      </c>
      <c r="H27" s="5">
        <v>12700</v>
      </c>
      <c r="I27" s="6">
        <v>0</v>
      </c>
      <c r="J27" s="7">
        <f t="shared" si="0"/>
        <v>0</v>
      </c>
      <c r="K27" s="7">
        <f t="shared" si="1"/>
        <v>12700</v>
      </c>
      <c r="L27" s="8"/>
    </row>
    <row r="28" spans="1:12" x14ac:dyDescent="0.2">
      <c r="A28" s="3" t="s">
        <v>76</v>
      </c>
      <c r="B28" s="3" t="s">
        <v>77</v>
      </c>
      <c r="C28" s="3" t="s">
        <v>22</v>
      </c>
      <c r="D28" s="3" t="s">
        <v>34</v>
      </c>
      <c r="E28" s="4">
        <v>45956</v>
      </c>
      <c r="F28" s="4"/>
      <c r="G28" s="4"/>
      <c r="H28" s="5">
        <v>22400</v>
      </c>
      <c r="I28" s="6">
        <v>0.23</v>
      </c>
      <c r="J28" s="7">
        <f t="shared" si="0"/>
        <v>5152</v>
      </c>
      <c r="K28" s="7">
        <f t="shared" si="1"/>
        <v>27552</v>
      </c>
      <c r="L28" s="9" t="s">
        <v>78</v>
      </c>
    </row>
    <row r="29" spans="1:12" x14ac:dyDescent="0.2">
      <c r="A29" s="3" t="s">
        <v>79</v>
      </c>
      <c r="B29" s="3" t="s">
        <v>80</v>
      </c>
      <c r="C29" s="3" t="s">
        <v>16</v>
      </c>
      <c r="D29" s="3" t="s">
        <v>17</v>
      </c>
      <c r="E29" s="4">
        <v>45966</v>
      </c>
      <c r="F29" s="4">
        <v>45971</v>
      </c>
      <c r="G29" s="4">
        <v>45979</v>
      </c>
      <c r="H29" s="5">
        <v>10200</v>
      </c>
      <c r="I29" s="6">
        <v>0</v>
      </c>
      <c r="J29" s="7">
        <f t="shared" si="0"/>
        <v>0</v>
      </c>
      <c r="K29" s="7">
        <f t="shared" si="1"/>
        <v>10200</v>
      </c>
      <c r="L29" s="8"/>
    </row>
    <row r="30" spans="1:12" x14ac:dyDescent="0.2">
      <c r="A30" s="3" t="s">
        <v>81</v>
      </c>
      <c r="B30" s="3" t="s">
        <v>82</v>
      </c>
      <c r="C30" s="3" t="s">
        <v>22</v>
      </c>
      <c r="D30" s="3" t="s">
        <v>39</v>
      </c>
      <c r="E30" s="4">
        <v>45975</v>
      </c>
      <c r="F30" s="4">
        <v>45980</v>
      </c>
      <c r="G30" s="4">
        <v>45988</v>
      </c>
      <c r="H30" s="5">
        <v>30800</v>
      </c>
      <c r="I30" s="6">
        <v>0.23</v>
      </c>
      <c r="J30" s="7">
        <f t="shared" si="0"/>
        <v>7084</v>
      </c>
      <c r="K30" s="7">
        <f t="shared" si="1"/>
        <v>37884</v>
      </c>
      <c r="L30" s="8"/>
    </row>
    <row r="31" spans="1:12" x14ac:dyDescent="0.2">
      <c r="A31" s="3" t="s">
        <v>83</v>
      </c>
      <c r="B31" s="3" t="s">
        <v>84</v>
      </c>
      <c r="C31" s="3" t="s">
        <v>16</v>
      </c>
      <c r="D31" s="3" t="s">
        <v>17</v>
      </c>
      <c r="E31" s="4">
        <v>45982</v>
      </c>
      <c r="F31" s="4">
        <v>45987</v>
      </c>
      <c r="G31" s="4">
        <v>45995</v>
      </c>
      <c r="H31" s="5">
        <v>9600</v>
      </c>
      <c r="I31" s="6">
        <v>0</v>
      </c>
      <c r="J31" s="7">
        <f t="shared" si="0"/>
        <v>0</v>
      </c>
      <c r="K31" s="7">
        <f t="shared" si="1"/>
        <v>9600</v>
      </c>
      <c r="L31" s="8"/>
    </row>
    <row r="32" spans="1:12" x14ac:dyDescent="0.2">
      <c r="A32" s="3" t="s">
        <v>85</v>
      </c>
      <c r="B32" s="3" t="s">
        <v>86</v>
      </c>
      <c r="C32" s="3" t="s">
        <v>22</v>
      </c>
      <c r="D32" s="3" t="s">
        <v>49</v>
      </c>
      <c r="E32" s="4">
        <v>46019</v>
      </c>
      <c r="F32" s="4">
        <v>46027</v>
      </c>
      <c r="G32" s="4"/>
      <c r="H32" s="5">
        <v>32000</v>
      </c>
      <c r="I32" s="6">
        <v>0.23</v>
      </c>
      <c r="J32" s="7">
        <f t="shared" si="0"/>
        <v>7360</v>
      </c>
      <c r="K32" s="7">
        <f t="shared" si="1"/>
        <v>39360</v>
      </c>
      <c r="L32" s="9" t="s">
        <v>87</v>
      </c>
    </row>
    <row r="33" spans="1:12" x14ac:dyDescent="0.2">
      <c r="A33" s="3" t="s">
        <v>88</v>
      </c>
      <c r="B33" s="3" t="s">
        <v>89</v>
      </c>
      <c r="C33" s="3" t="s">
        <v>22</v>
      </c>
      <c r="D33" s="3" t="s">
        <v>64</v>
      </c>
      <c r="E33" s="4">
        <v>46021</v>
      </c>
      <c r="F33" s="4">
        <v>46030</v>
      </c>
      <c r="G33" s="4"/>
      <c r="H33" s="5">
        <v>18500</v>
      </c>
      <c r="I33" s="6">
        <v>0.23</v>
      </c>
      <c r="J33" s="7">
        <f t="shared" si="0"/>
        <v>4255</v>
      </c>
      <c r="K33" s="7">
        <f t="shared" si="1"/>
        <v>22755</v>
      </c>
      <c r="L33" s="9" t="s">
        <v>90</v>
      </c>
    </row>
    <row r="34" spans="1:12" x14ac:dyDescent="0.2">
      <c r="A34" s="3" t="s">
        <v>91</v>
      </c>
      <c r="B34" s="3" t="s">
        <v>92</v>
      </c>
      <c r="C34" s="3" t="s">
        <v>22</v>
      </c>
      <c r="D34" s="3" t="s">
        <v>59</v>
      </c>
      <c r="E34" s="4">
        <v>46006</v>
      </c>
      <c r="F34" s="4">
        <v>46009</v>
      </c>
      <c r="G34" s="4">
        <v>46013</v>
      </c>
      <c r="H34" s="5">
        <v>52000</v>
      </c>
      <c r="I34" s="6">
        <v>0.23</v>
      </c>
      <c r="J34" s="7">
        <f t="shared" si="0"/>
        <v>11960</v>
      </c>
      <c r="K34" s="7">
        <f t="shared" si="1"/>
        <v>63960</v>
      </c>
      <c r="L34" s="9" t="s">
        <v>93</v>
      </c>
    </row>
    <row r="35" spans="1:12" x14ac:dyDescent="0.2">
      <c r="A35" s="3" t="s">
        <v>94</v>
      </c>
      <c r="B35" s="3" t="s">
        <v>92</v>
      </c>
      <c r="C35" s="3" t="s">
        <v>22</v>
      </c>
      <c r="D35" s="3" t="s">
        <v>95</v>
      </c>
      <c r="E35" s="10">
        <v>46030</v>
      </c>
      <c r="F35" s="11"/>
      <c r="G35" s="11"/>
      <c r="H35" s="5">
        <v>-5000</v>
      </c>
      <c r="I35" s="6">
        <v>0.23</v>
      </c>
      <c r="J35" s="7">
        <f t="shared" si="0"/>
        <v>-1150</v>
      </c>
      <c r="K35" s="7">
        <f t="shared" si="1"/>
        <v>-6150</v>
      </c>
      <c r="L35" s="9" t="s">
        <v>96</v>
      </c>
    </row>
    <row r="37" spans="1:12" x14ac:dyDescent="0.2">
      <c r="D37" s="1" t="s">
        <v>97</v>
      </c>
      <c r="H37" s="12">
        <f>SUM(H5:H34)</f>
        <v>664400</v>
      </c>
      <c r="J37" s="12">
        <f>SUM(J5:J34)</f>
        <v>109871</v>
      </c>
      <c r="K37" s="12">
        <f>SUM(K5:K34)</f>
        <v>774271</v>
      </c>
    </row>
    <row r="38" spans="1:12" x14ac:dyDescent="0.2">
      <c r="D38" s="1" t="s">
        <v>98</v>
      </c>
      <c r="H38" s="12">
        <f>SUM(H5:H35)</f>
        <v>659400</v>
      </c>
    </row>
  </sheetData>
  <autoFilter ref="A4:L34" xr:uid="{00000000-0009-0000-0000-000002000000}"/>
  <mergeCells count="2">
    <mergeCell ref="A2:L2"/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5"/>
  <sheetViews>
    <sheetView showGridLines="0" zoomScaleNormal="100" workbookViewId="0">
      <pane ySplit="4" topLeftCell="A5" activePane="bottomLeft" state="frozen"/>
      <selection pane="bottomLeft" activeCell="K38" sqref="K38"/>
    </sheetView>
  </sheetViews>
  <sheetFormatPr baseColWidth="10" defaultColWidth="8.6640625" defaultRowHeight="15" x14ac:dyDescent="0.2"/>
  <cols>
    <col min="1" max="1" width="10" customWidth="1"/>
    <col min="2" max="2" width="26" customWidth="1"/>
    <col min="3" max="3" width="10" customWidth="1"/>
    <col min="4" max="4" width="42" customWidth="1"/>
    <col min="5" max="5" width="8" customWidth="1"/>
    <col min="6" max="7" width="13" customWidth="1"/>
    <col min="8" max="8" width="12" customWidth="1"/>
    <col min="9" max="10" width="13" customWidth="1"/>
    <col min="11" max="11" width="10" customWidth="1"/>
    <col min="12" max="12" width="68.6640625" customWidth="1"/>
  </cols>
  <sheetData>
    <row r="1" spans="1:12" ht="18" customHeight="1" x14ac:dyDescent="0.2">
      <c r="A1" s="21" t="s">
        <v>190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x14ac:dyDescent="0.2">
      <c r="A2" s="19" t="s">
        <v>191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4" spans="1:12" ht="42" customHeight="1" x14ac:dyDescent="0.2">
      <c r="A4" s="2" t="s">
        <v>192</v>
      </c>
      <c r="B4" s="2" t="s">
        <v>193</v>
      </c>
      <c r="C4" s="2" t="s">
        <v>194</v>
      </c>
      <c r="D4" s="2" t="s">
        <v>5</v>
      </c>
      <c r="E4" s="2" t="s">
        <v>195</v>
      </c>
      <c r="F4" s="2" t="s">
        <v>196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197</v>
      </c>
      <c r="L4" s="2" t="s">
        <v>13</v>
      </c>
    </row>
    <row r="5" spans="1:12" x14ac:dyDescent="0.2">
      <c r="A5" s="3" t="s">
        <v>198</v>
      </c>
      <c r="B5" s="3" t="s">
        <v>199</v>
      </c>
      <c r="C5" s="3" t="s">
        <v>200</v>
      </c>
      <c r="D5" s="3" t="s">
        <v>201</v>
      </c>
      <c r="E5" s="3">
        <v>500</v>
      </c>
      <c r="F5" s="4">
        <v>45672</v>
      </c>
      <c r="G5" s="5">
        <v>18500</v>
      </c>
      <c r="H5" s="6">
        <v>0.23</v>
      </c>
      <c r="I5" s="7">
        <f t="shared" ref="I5:I33" si="0">G5*H5</f>
        <v>4255</v>
      </c>
      <c r="J5" s="7">
        <f t="shared" ref="J5:J33" si="1">G5+I5</f>
        <v>22755</v>
      </c>
      <c r="K5" s="3" t="s">
        <v>202</v>
      </c>
      <c r="L5" s="8"/>
    </row>
    <row r="6" spans="1:12" x14ac:dyDescent="0.2">
      <c r="A6" s="3" t="s">
        <v>203</v>
      </c>
      <c r="B6" s="3" t="s">
        <v>204</v>
      </c>
      <c r="C6" s="3" t="s">
        <v>200</v>
      </c>
      <c r="D6" s="3" t="s">
        <v>205</v>
      </c>
      <c r="E6" s="3">
        <v>510</v>
      </c>
      <c r="F6" s="4">
        <v>45677</v>
      </c>
      <c r="G6" s="5">
        <v>9200</v>
      </c>
      <c r="H6" s="6">
        <v>0.23</v>
      </c>
      <c r="I6" s="7">
        <f t="shared" si="0"/>
        <v>2116</v>
      </c>
      <c r="J6" s="7">
        <f t="shared" si="1"/>
        <v>11316</v>
      </c>
      <c r="K6" s="3" t="s">
        <v>202</v>
      </c>
      <c r="L6" s="8"/>
    </row>
    <row r="7" spans="1:12" x14ac:dyDescent="0.2">
      <c r="A7" s="3" t="s">
        <v>206</v>
      </c>
      <c r="B7" s="3" t="s">
        <v>207</v>
      </c>
      <c r="C7" s="3" t="s">
        <v>200</v>
      </c>
      <c r="D7" s="3" t="s">
        <v>208</v>
      </c>
      <c r="E7" s="3">
        <v>520</v>
      </c>
      <c r="F7" s="4">
        <v>45693</v>
      </c>
      <c r="G7" s="5">
        <v>14600</v>
      </c>
      <c r="H7" s="6">
        <v>0.23</v>
      </c>
      <c r="I7" s="7">
        <f t="shared" si="0"/>
        <v>3358</v>
      </c>
      <c r="J7" s="7">
        <f t="shared" si="1"/>
        <v>17958</v>
      </c>
      <c r="K7" s="3" t="s">
        <v>202</v>
      </c>
      <c r="L7" s="8"/>
    </row>
    <row r="8" spans="1:12" x14ac:dyDescent="0.2">
      <c r="A8" s="3" t="s">
        <v>209</v>
      </c>
      <c r="B8" s="3" t="s">
        <v>210</v>
      </c>
      <c r="C8" s="3" t="s">
        <v>200</v>
      </c>
      <c r="D8" s="3" t="s">
        <v>211</v>
      </c>
      <c r="E8" s="3">
        <v>530</v>
      </c>
      <c r="F8" s="4">
        <v>45700</v>
      </c>
      <c r="G8" s="5">
        <v>3200</v>
      </c>
      <c r="H8" s="6">
        <v>0.23</v>
      </c>
      <c r="I8" s="7">
        <f t="shared" si="0"/>
        <v>736</v>
      </c>
      <c r="J8" s="7">
        <f t="shared" si="1"/>
        <v>3936</v>
      </c>
      <c r="K8" s="3" t="s">
        <v>202</v>
      </c>
      <c r="L8" s="8"/>
    </row>
    <row r="9" spans="1:12" x14ac:dyDescent="0.2">
      <c r="A9" s="3" t="s">
        <v>212</v>
      </c>
      <c r="B9" s="3" t="s">
        <v>213</v>
      </c>
      <c r="C9" s="3" t="s">
        <v>200</v>
      </c>
      <c r="D9" s="3" t="s">
        <v>214</v>
      </c>
      <c r="E9" s="3">
        <v>540</v>
      </c>
      <c r="F9" s="4">
        <v>45716</v>
      </c>
      <c r="G9" s="5">
        <v>8400</v>
      </c>
      <c r="H9" s="6">
        <v>0.23</v>
      </c>
      <c r="I9" s="7">
        <f t="shared" si="0"/>
        <v>1932</v>
      </c>
      <c r="J9" s="7">
        <f t="shared" si="1"/>
        <v>10332</v>
      </c>
      <c r="K9" s="3" t="s">
        <v>202</v>
      </c>
      <c r="L9" s="9" t="s">
        <v>215</v>
      </c>
    </row>
    <row r="10" spans="1:12" x14ac:dyDescent="0.2">
      <c r="A10" s="3" t="s">
        <v>216</v>
      </c>
      <c r="B10" s="3" t="s">
        <v>217</v>
      </c>
      <c r="C10" s="3" t="s">
        <v>200</v>
      </c>
      <c r="D10" s="3" t="s">
        <v>218</v>
      </c>
      <c r="E10" s="3">
        <v>610</v>
      </c>
      <c r="F10" s="4">
        <v>45717</v>
      </c>
      <c r="G10" s="5">
        <v>4800</v>
      </c>
      <c r="H10" s="6">
        <v>0</v>
      </c>
      <c r="I10" s="7">
        <f t="shared" si="0"/>
        <v>0</v>
      </c>
      <c r="J10" s="7">
        <f t="shared" si="1"/>
        <v>4800</v>
      </c>
      <c r="K10" s="3" t="s">
        <v>202</v>
      </c>
      <c r="L10" s="8"/>
    </row>
    <row r="11" spans="1:12" x14ac:dyDescent="0.2">
      <c r="A11" s="3" t="s">
        <v>219</v>
      </c>
      <c r="B11" s="3" t="s">
        <v>199</v>
      </c>
      <c r="C11" s="3" t="s">
        <v>200</v>
      </c>
      <c r="D11" s="3" t="s">
        <v>201</v>
      </c>
      <c r="E11" s="3">
        <v>500</v>
      </c>
      <c r="F11" s="4">
        <v>45731</v>
      </c>
      <c r="G11" s="5">
        <v>21400</v>
      </c>
      <c r="H11" s="6">
        <v>0.23</v>
      </c>
      <c r="I11" s="7">
        <f t="shared" si="0"/>
        <v>4922</v>
      </c>
      <c r="J11" s="7">
        <f t="shared" si="1"/>
        <v>26322</v>
      </c>
      <c r="K11" s="3" t="s">
        <v>202</v>
      </c>
      <c r="L11" s="8"/>
    </row>
    <row r="12" spans="1:12" x14ac:dyDescent="0.2">
      <c r="A12" s="3" t="s">
        <v>220</v>
      </c>
      <c r="B12" s="3" t="s">
        <v>204</v>
      </c>
      <c r="C12" s="3" t="s">
        <v>200</v>
      </c>
      <c r="D12" s="3" t="s">
        <v>205</v>
      </c>
      <c r="E12" s="3">
        <v>510</v>
      </c>
      <c r="F12" s="4">
        <v>45738</v>
      </c>
      <c r="G12" s="5">
        <v>10100</v>
      </c>
      <c r="H12" s="6">
        <v>0.23</v>
      </c>
      <c r="I12" s="7">
        <f t="shared" si="0"/>
        <v>2323</v>
      </c>
      <c r="J12" s="7">
        <f t="shared" si="1"/>
        <v>12423</v>
      </c>
      <c r="K12" s="3" t="s">
        <v>202</v>
      </c>
      <c r="L12" s="8"/>
    </row>
    <row r="13" spans="1:12" x14ac:dyDescent="0.2">
      <c r="A13" s="3" t="s">
        <v>221</v>
      </c>
      <c r="B13" s="3" t="s">
        <v>210</v>
      </c>
      <c r="C13" s="3" t="s">
        <v>200</v>
      </c>
      <c r="D13" s="3" t="s">
        <v>211</v>
      </c>
      <c r="E13" s="3">
        <v>530</v>
      </c>
      <c r="F13" s="4">
        <v>45752</v>
      </c>
      <c r="G13" s="5">
        <v>2900</v>
      </c>
      <c r="H13" s="6">
        <v>0.23</v>
      </c>
      <c r="I13" s="7">
        <f t="shared" si="0"/>
        <v>667</v>
      </c>
      <c r="J13" s="7">
        <f t="shared" si="1"/>
        <v>3567</v>
      </c>
      <c r="K13" s="3" t="s">
        <v>202</v>
      </c>
      <c r="L13" s="8"/>
    </row>
    <row r="14" spans="1:12" x14ac:dyDescent="0.2">
      <c r="A14" s="3" t="s">
        <v>222</v>
      </c>
      <c r="B14" s="3" t="s">
        <v>213</v>
      </c>
      <c r="C14" s="3" t="s">
        <v>200</v>
      </c>
      <c r="D14" s="3" t="s">
        <v>214</v>
      </c>
      <c r="E14" s="3">
        <v>540</v>
      </c>
      <c r="F14" s="4">
        <v>45765</v>
      </c>
      <c r="G14" s="5">
        <v>9100</v>
      </c>
      <c r="H14" s="6">
        <v>0.23</v>
      </c>
      <c r="I14" s="7">
        <f t="shared" si="0"/>
        <v>2093</v>
      </c>
      <c r="J14" s="7">
        <f t="shared" si="1"/>
        <v>11193</v>
      </c>
      <c r="K14" s="3" t="s">
        <v>202</v>
      </c>
      <c r="L14" s="8"/>
    </row>
    <row r="15" spans="1:12" x14ac:dyDescent="0.2">
      <c r="A15" s="3" t="s">
        <v>223</v>
      </c>
      <c r="B15" s="3" t="s">
        <v>224</v>
      </c>
      <c r="C15" s="3" t="s">
        <v>200</v>
      </c>
      <c r="D15" s="3" t="s">
        <v>225</v>
      </c>
      <c r="E15" s="3">
        <v>630</v>
      </c>
      <c r="F15" s="4">
        <v>45965</v>
      </c>
      <c r="G15" s="5">
        <v>1800</v>
      </c>
      <c r="H15" s="6">
        <v>0.23</v>
      </c>
      <c r="I15" s="7">
        <f t="shared" si="0"/>
        <v>414</v>
      </c>
      <c r="J15" s="7">
        <f t="shared" si="1"/>
        <v>2214</v>
      </c>
      <c r="K15" s="3" t="s">
        <v>202</v>
      </c>
      <c r="L15" s="9" t="s">
        <v>226</v>
      </c>
    </row>
    <row r="16" spans="1:12" x14ac:dyDescent="0.2">
      <c r="A16" s="3" t="s">
        <v>227</v>
      </c>
      <c r="B16" s="3" t="s">
        <v>207</v>
      </c>
      <c r="C16" s="3" t="s">
        <v>200</v>
      </c>
      <c r="D16" s="3" t="s">
        <v>208</v>
      </c>
      <c r="E16" s="3">
        <v>520</v>
      </c>
      <c r="F16" s="4">
        <v>45787</v>
      </c>
      <c r="G16" s="5">
        <v>16200</v>
      </c>
      <c r="H16" s="6">
        <v>0.23</v>
      </c>
      <c r="I16" s="7">
        <f t="shared" si="0"/>
        <v>3726</v>
      </c>
      <c r="J16" s="7">
        <f t="shared" si="1"/>
        <v>19926</v>
      </c>
      <c r="K16" s="3" t="s">
        <v>202</v>
      </c>
      <c r="L16" s="8"/>
    </row>
    <row r="17" spans="1:12" x14ac:dyDescent="0.2">
      <c r="A17" s="3" t="s">
        <v>228</v>
      </c>
      <c r="B17" s="3" t="s">
        <v>199</v>
      </c>
      <c r="C17" s="3" t="s">
        <v>200</v>
      </c>
      <c r="D17" s="3" t="s">
        <v>201</v>
      </c>
      <c r="E17" s="3">
        <v>500</v>
      </c>
      <c r="F17" s="4">
        <v>45802</v>
      </c>
      <c r="G17" s="5">
        <v>19800</v>
      </c>
      <c r="H17" s="6">
        <v>0.23</v>
      </c>
      <c r="I17" s="7">
        <f t="shared" si="0"/>
        <v>4554</v>
      </c>
      <c r="J17" s="7">
        <f t="shared" si="1"/>
        <v>24354</v>
      </c>
      <c r="K17" s="3" t="s">
        <v>202</v>
      </c>
      <c r="L17" s="8"/>
    </row>
    <row r="18" spans="1:12" x14ac:dyDescent="0.2">
      <c r="A18" s="3" t="s">
        <v>229</v>
      </c>
      <c r="B18" s="3" t="s">
        <v>230</v>
      </c>
      <c r="C18" s="3" t="s">
        <v>200</v>
      </c>
      <c r="D18" s="3" t="s">
        <v>231</v>
      </c>
      <c r="E18" s="3">
        <v>620</v>
      </c>
      <c r="F18" s="4">
        <v>45809</v>
      </c>
      <c r="G18" s="5">
        <v>320</v>
      </c>
      <c r="H18" s="6">
        <v>0.23</v>
      </c>
      <c r="I18" s="7">
        <f t="shared" si="0"/>
        <v>73.600000000000009</v>
      </c>
      <c r="J18" s="7">
        <f t="shared" si="1"/>
        <v>393.6</v>
      </c>
      <c r="K18" s="3" t="s">
        <v>202</v>
      </c>
      <c r="L18" s="8"/>
    </row>
    <row r="19" spans="1:12" x14ac:dyDescent="0.2">
      <c r="A19" s="3" t="s">
        <v>232</v>
      </c>
      <c r="B19" s="3" t="s">
        <v>213</v>
      </c>
      <c r="C19" s="3" t="s">
        <v>200</v>
      </c>
      <c r="D19" s="3" t="s">
        <v>214</v>
      </c>
      <c r="E19" s="3">
        <v>540</v>
      </c>
      <c r="F19" s="4">
        <v>45823</v>
      </c>
      <c r="G19" s="5">
        <v>8700</v>
      </c>
      <c r="H19" s="6">
        <v>0.23</v>
      </c>
      <c r="I19" s="7">
        <f t="shared" si="0"/>
        <v>2001</v>
      </c>
      <c r="J19" s="7">
        <f t="shared" si="1"/>
        <v>10701</v>
      </c>
      <c r="K19" s="3" t="s">
        <v>202</v>
      </c>
      <c r="L19" s="8"/>
    </row>
    <row r="20" spans="1:12" x14ac:dyDescent="0.2">
      <c r="A20" s="3" t="s">
        <v>233</v>
      </c>
      <c r="B20" s="3" t="s">
        <v>234</v>
      </c>
      <c r="C20" s="3" t="s">
        <v>235</v>
      </c>
      <c r="D20" s="3" t="s">
        <v>236</v>
      </c>
      <c r="E20" s="3">
        <v>520</v>
      </c>
      <c r="F20" s="4">
        <v>45828</v>
      </c>
      <c r="G20" s="5">
        <v>10000</v>
      </c>
      <c r="H20" s="6">
        <v>0</v>
      </c>
      <c r="I20" s="7">
        <f t="shared" si="0"/>
        <v>0</v>
      </c>
      <c r="J20" s="7">
        <f t="shared" si="1"/>
        <v>10000</v>
      </c>
      <c r="K20" s="3" t="s">
        <v>202</v>
      </c>
      <c r="L20" s="9" t="s">
        <v>237</v>
      </c>
    </row>
    <row r="21" spans="1:12" x14ac:dyDescent="0.2">
      <c r="A21" s="3" t="s">
        <v>238</v>
      </c>
      <c r="B21" s="3" t="s">
        <v>210</v>
      </c>
      <c r="C21" s="3" t="s">
        <v>200</v>
      </c>
      <c r="D21" s="3" t="s">
        <v>211</v>
      </c>
      <c r="E21" s="3">
        <v>530</v>
      </c>
      <c r="F21" s="4">
        <v>45840</v>
      </c>
      <c r="G21" s="5">
        <v>3400</v>
      </c>
      <c r="H21" s="6">
        <v>0.23</v>
      </c>
      <c r="I21" s="7">
        <f t="shared" si="0"/>
        <v>782</v>
      </c>
      <c r="J21" s="7">
        <f t="shared" si="1"/>
        <v>4182</v>
      </c>
      <c r="K21" s="3" t="s">
        <v>202</v>
      </c>
      <c r="L21" s="8"/>
    </row>
    <row r="22" spans="1:12" x14ac:dyDescent="0.2">
      <c r="A22" s="3" t="s">
        <v>239</v>
      </c>
      <c r="B22" s="3" t="s">
        <v>199</v>
      </c>
      <c r="C22" s="3" t="s">
        <v>200</v>
      </c>
      <c r="D22" s="3" t="s">
        <v>201</v>
      </c>
      <c r="E22" s="3">
        <v>500</v>
      </c>
      <c r="F22" s="4">
        <v>45853</v>
      </c>
      <c r="G22" s="5">
        <v>22600</v>
      </c>
      <c r="H22" s="6">
        <v>0.23</v>
      </c>
      <c r="I22" s="7">
        <f t="shared" si="0"/>
        <v>5198</v>
      </c>
      <c r="J22" s="7">
        <f t="shared" si="1"/>
        <v>27798</v>
      </c>
      <c r="K22" s="3" t="s">
        <v>202</v>
      </c>
      <c r="L22" s="9" t="s">
        <v>240</v>
      </c>
    </row>
    <row r="23" spans="1:12" x14ac:dyDescent="0.2">
      <c r="A23" s="3" t="s">
        <v>241</v>
      </c>
      <c r="B23" s="3" t="s">
        <v>199</v>
      </c>
      <c r="C23" s="3" t="s">
        <v>200</v>
      </c>
      <c r="D23" s="3" t="s">
        <v>242</v>
      </c>
      <c r="E23" s="3">
        <v>500</v>
      </c>
      <c r="F23" s="4">
        <v>45853</v>
      </c>
      <c r="G23" s="5">
        <v>22600</v>
      </c>
      <c r="H23" s="6">
        <v>0.23</v>
      </c>
      <c r="I23" s="7">
        <f t="shared" si="0"/>
        <v>5198</v>
      </c>
      <c r="J23" s="7">
        <f t="shared" si="1"/>
        <v>27798</v>
      </c>
      <c r="K23" s="3" t="s">
        <v>202</v>
      </c>
      <c r="L23" s="9" t="s">
        <v>243</v>
      </c>
    </row>
    <row r="24" spans="1:12" x14ac:dyDescent="0.2">
      <c r="A24" s="3" t="s">
        <v>244</v>
      </c>
      <c r="B24" s="3" t="s">
        <v>204</v>
      </c>
      <c r="C24" s="3" t="s">
        <v>200</v>
      </c>
      <c r="D24" s="3" t="s">
        <v>205</v>
      </c>
      <c r="E24" s="3">
        <v>510</v>
      </c>
      <c r="F24" s="4">
        <v>45866</v>
      </c>
      <c r="G24" s="5">
        <v>11400</v>
      </c>
      <c r="H24" s="6">
        <v>0.23</v>
      </c>
      <c r="I24" s="7">
        <f t="shared" si="0"/>
        <v>2622</v>
      </c>
      <c r="J24" s="7">
        <f t="shared" si="1"/>
        <v>14022</v>
      </c>
      <c r="K24" s="3" t="s">
        <v>202</v>
      </c>
      <c r="L24" s="8"/>
    </row>
    <row r="25" spans="1:12" x14ac:dyDescent="0.2">
      <c r="A25" s="3" t="s">
        <v>245</v>
      </c>
      <c r="B25" s="3" t="s">
        <v>246</v>
      </c>
      <c r="C25" s="3" t="s">
        <v>200</v>
      </c>
      <c r="D25" s="3" t="s">
        <v>247</v>
      </c>
      <c r="E25" s="3">
        <v>640</v>
      </c>
      <c r="F25" s="4">
        <v>45874</v>
      </c>
      <c r="G25" s="5">
        <v>2200</v>
      </c>
      <c r="H25" s="6">
        <v>0.23</v>
      </c>
      <c r="I25" s="7">
        <f t="shared" si="0"/>
        <v>506</v>
      </c>
      <c r="J25" s="7">
        <f t="shared" si="1"/>
        <v>2706</v>
      </c>
      <c r="K25" s="3" t="s">
        <v>202</v>
      </c>
      <c r="L25" s="8"/>
    </row>
    <row r="26" spans="1:12" x14ac:dyDescent="0.2">
      <c r="A26" s="3" t="s">
        <v>248</v>
      </c>
      <c r="B26" s="3" t="s">
        <v>213</v>
      </c>
      <c r="C26" s="3" t="s">
        <v>200</v>
      </c>
      <c r="D26" s="3" t="s">
        <v>214</v>
      </c>
      <c r="E26" s="3">
        <v>540</v>
      </c>
      <c r="F26" s="4">
        <v>45889</v>
      </c>
      <c r="G26" s="5">
        <v>9500</v>
      </c>
      <c r="H26" s="6">
        <v>0.23</v>
      </c>
      <c r="I26" s="7">
        <f t="shared" si="0"/>
        <v>2185</v>
      </c>
      <c r="J26" s="7">
        <f t="shared" si="1"/>
        <v>11685</v>
      </c>
      <c r="K26" s="3" t="s">
        <v>202</v>
      </c>
      <c r="L26" s="8"/>
    </row>
    <row r="27" spans="1:12" x14ac:dyDescent="0.2">
      <c r="A27" s="3" t="s">
        <v>249</v>
      </c>
      <c r="B27" s="3" t="s">
        <v>207</v>
      </c>
      <c r="C27" s="3" t="s">
        <v>200</v>
      </c>
      <c r="D27" s="3" t="s">
        <v>208</v>
      </c>
      <c r="E27" s="3">
        <v>520</v>
      </c>
      <c r="F27" s="4">
        <v>45955</v>
      </c>
      <c r="G27" s="5">
        <v>15800</v>
      </c>
      <c r="H27" s="6">
        <v>0.23</v>
      </c>
      <c r="I27" s="7">
        <f t="shared" si="0"/>
        <v>3634</v>
      </c>
      <c r="J27" s="7">
        <f t="shared" si="1"/>
        <v>19434</v>
      </c>
      <c r="K27" s="3" t="s">
        <v>202</v>
      </c>
      <c r="L27" s="8"/>
    </row>
    <row r="28" spans="1:12" x14ac:dyDescent="0.2">
      <c r="A28" s="3" t="s">
        <v>250</v>
      </c>
      <c r="B28" s="3" t="s">
        <v>251</v>
      </c>
      <c r="C28" s="3" t="s">
        <v>200</v>
      </c>
      <c r="D28" s="3" t="s">
        <v>252</v>
      </c>
      <c r="E28" s="3">
        <v>600</v>
      </c>
      <c r="F28" s="4">
        <v>45966</v>
      </c>
      <c r="G28" s="5">
        <v>1600</v>
      </c>
      <c r="H28" s="6">
        <v>0.23</v>
      </c>
      <c r="I28" s="7">
        <f t="shared" si="0"/>
        <v>368</v>
      </c>
      <c r="J28" s="7">
        <f t="shared" si="1"/>
        <v>1968</v>
      </c>
      <c r="K28" s="3" t="s">
        <v>202</v>
      </c>
      <c r="L28" s="8"/>
    </row>
    <row r="29" spans="1:12" x14ac:dyDescent="0.2">
      <c r="A29" s="3" t="s">
        <v>253</v>
      </c>
      <c r="B29" s="3" t="s">
        <v>254</v>
      </c>
      <c r="C29" s="3" t="s">
        <v>200</v>
      </c>
      <c r="D29" s="3" t="s">
        <v>255</v>
      </c>
      <c r="E29" s="3">
        <v>620</v>
      </c>
      <c r="F29" s="4">
        <v>45976</v>
      </c>
      <c r="G29" s="5">
        <v>340</v>
      </c>
      <c r="H29" s="6">
        <v>0.23</v>
      </c>
      <c r="I29" s="7">
        <f t="shared" si="0"/>
        <v>78.2</v>
      </c>
      <c r="J29" s="7">
        <f t="shared" si="1"/>
        <v>418.2</v>
      </c>
      <c r="K29" s="3" t="s">
        <v>202</v>
      </c>
      <c r="L29" s="8"/>
    </row>
    <row r="30" spans="1:12" x14ac:dyDescent="0.2">
      <c r="A30" s="3" t="s">
        <v>256</v>
      </c>
      <c r="B30" s="3" t="s">
        <v>213</v>
      </c>
      <c r="C30" s="3" t="s">
        <v>200</v>
      </c>
      <c r="D30" s="3" t="s">
        <v>214</v>
      </c>
      <c r="E30" s="3">
        <v>540</v>
      </c>
      <c r="F30" s="4">
        <v>45996</v>
      </c>
      <c r="G30" s="5">
        <v>9800</v>
      </c>
      <c r="H30" s="6">
        <v>0.23</v>
      </c>
      <c r="I30" s="7">
        <f t="shared" si="0"/>
        <v>2254</v>
      </c>
      <c r="J30" s="7">
        <f t="shared" si="1"/>
        <v>12054</v>
      </c>
      <c r="K30" s="3" t="s">
        <v>202</v>
      </c>
      <c r="L30" s="8"/>
    </row>
    <row r="31" spans="1:12" x14ac:dyDescent="0.2">
      <c r="A31" s="3" t="s">
        <v>257</v>
      </c>
      <c r="B31" s="3" t="s">
        <v>199</v>
      </c>
      <c r="C31" s="3" t="s">
        <v>200</v>
      </c>
      <c r="D31" s="3" t="s">
        <v>201</v>
      </c>
      <c r="E31" s="3">
        <v>500</v>
      </c>
      <c r="F31" s="4">
        <v>46003</v>
      </c>
      <c r="G31" s="5">
        <v>24500</v>
      </c>
      <c r="H31" s="6">
        <v>0.23</v>
      </c>
      <c r="I31" s="7">
        <f t="shared" si="0"/>
        <v>5635</v>
      </c>
      <c r="J31" s="7">
        <f t="shared" si="1"/>
        <v>30135</v>
      </c>
      <c r="K31" s="3" t="s">
        <v>202</v>
      </c>
      <c r="L31" s="8"/>
    </row>
    <row r="32" spans="1:12" x14ac:dyDescent="0.2">
      <c r="A32" s="3" t="s">
        <v>258</v>
      </c>
      <c r="B32" s="3" t="s">
        <v>259</v>
      </c>
      <c r="C32" s="3" t="s">
        <v>200</v>
      </c>
      <c r="D32" s="3" t="s">
        <v>260</v>
      </c>
      <c r="E32" s="3">
        <v>710</v>
      </c>
      <c r="F32" s="4">
        <v>45971</v>
      </c>
      <c r="G32" s="5">
        <v>25000</v>
      </c>
      <c r="H32" s="6">
        <v>0.23</v>
      </c>
      <c r="I32" s="7">
        <f t="shared" si="0"/>
        <v>5750</v>
      </c>
      <c r="J32" s="7">
        <f t="shared" si="1"/>
        <v>30750</v>
      </c>
      <c r="K32" s="3" t="s">
        <v>202</v>
      </c>
      <c r="L32" s="8"/>
    </row>
    <row r="33" spans="1:12" x14ac:dyDescent="0.2">
      <c r="A33" s="3" t="s">
        <v>261</v>
      </c>
      <c r="B33" s="3" t="s">
        <v>262</v>
      </c>
      <c r="C33" s="3" t="s">
        <v>200</v>
      </c>
      <c r="D33" s="3" t="s">
        <v>263</v>
      </c>
      <c r="E33" s="3">
        <v>720</v>
      </c>
      <c r="F33" s="4">
        <v>45979</v>
      </c>
      <c r="G33" s="5">
        <v>4000</v>
      </c>
      <c r="H33" s="6">
        <v>0.23</v>
      </c>
      <c r="I33" s="7">
        <f t="shared" si="0"/>
        <v>920</v>
      </c>
      <c r="J33" s="7">
        <f t="shared" si="1"/>
        <v>4920</v>
      </c>
      <c r="K33" s="3" t="s">
        <v>202</v>
      </c>
      <c r="L33" s="8"/>
    </row>
    <row r="35" spans="1:12" x14ac:dyDescent="0.2">
      <c r="D35" s="1" t="s">
        <v>264</v>
      </c>
      <c r="G35" s="12">
        <f>SUM(G5:G33)</f>
        <v>311760</v>
      </c>
      <c r="I35" s="12">
        <f>SUM(I5:I33)</f>
        <v>68300.799999999988</v>
      </c>
      <c r="J35" s="12">
        <f>SUM(J5:J33)</f>
        <v>380060.8</v>
      </c>
    </row>
  </sheetData>
  <autoFilter ref="A4:L33" xr:uid="{00000000-0009-0000-0000-000003000000}"/>
  <mergeCells count="2">
    <mergeCell ref="A2:L2"/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showGridLines="0" zoomScaleNormal="100" workbookViewId="0">
      <pane ySplit="4" topLeftCell="A5" activePane="bottomLeft" state="frozen"/>
      <selection pane="bottomLeft" sqref="A1:F1"/>
    </sheetView>
  </sheetViews>
  <sheetFormatPr baseColWidth="10" defaultColWidth="8.6640625" defaultRowHeight="15" x14ac:dyDescent="0.2"/>
  <cols>
    <col min="1" max="1" width="13" customWidth="1"/>
    <col min="2" max="2" width="52" customWidth="1"/>
    <col min="3" max="4" width="14" customWidth="1"/>
    <col min="5" max="5" width="16" customWidth="1"/>
    <col min="6" max="6" width="60" customWidth="1"/>
  </cols>
  <sheetData>
    <row r="1" spans="1:6" ht="18" customHeight="1" x14ac:dyDescent="0.2">
      <c r="A1" s="21" t="s">
        <v>265</v>
      </c>
      <c r="B1" s="20"/>
      <c r="C1" s="20"/>
      <c r="D1" s="20"/>
      <c r="E1" s="20"/>
      <c r="F1" s="20"/>
    </row>
    <row r="2" spans="1:6" x14ac:dyDescent="0.2">
      <c r="A2" s="19" t="s">
        <v>266</v>
      </c>
      <c r="B2" s="20"/>
      <c r="C2" s="20"/>
      <c r="D2" s="20"/>
      <c r="E2" s="20"/>
      <c r="F2" s="20"/>
    </row>
    <row r="4" spans="1:6" x14ac:dyDescent="0.2">
      <c r="A4" s="2" t="s">
        <v>267</v>
      </c>
      <c r="B4" s="2" t="s">
        <v>5</v>
      </c>
      <c r="C4" s="2" t="s">
        <v>268</v>
      </c>
      <c r="D4" s="2" t="s">
        <v>269</v>
      </c>
      <c r="E4" s="2" t="s">
        <v>270</v>
      </c>
      <c r="F4" s="2" t="s">
        <v>271</v>
      </c>
    </row>
    <row r="5" spans="1:6" x14ac:dyDescent="0.2">
      <c r="A5" s="4">
        <v>45992</v>
      </c>
      <c r="B5" s="3" t="s">
        <v>272</v>
      </c>
      <c r="C5" s="11"/>
      <c r="D5" s="11"/>
      <c r="E5" s="5">
        <v>62400</v>
      </c>
      <c r="F5" s="8"/>
    </row>
    <row r="6" spans="1:6" x14ac:dyDescent="0.2">
      <c r="A6" s="4">
        <v>45993</v>
      </c>
      <c r="B6" s="3" t="s">
        <v>273</v>
      </c>
      <c r="C6" s="5">
        <v>14760</v>
      </c>
      <c r="D6" s="11"/>
      <c r="E6" s="7">
        <f t="shared" ref="E6:E19" si="0">E5+IFERROR(C6,0)-IFERROR(D6,0)</f>
        <v>77160</v>
      </c>
      <c r="F6" s="8"/>
    </row>
    <row r="7" spans="1:6" x14ac:dyDescent="0.2">
      <c r="A7" s="4">
        <v>45994</v>
      </c>
      <c r="B7" s="3" t="s">
        <v>274</v>
      </c>
      <c r="C7" s="5">
        <v>39975</v>
      </c>
      <c r="D7" s="11"/>
      <c r="E7" s="7">
        <f t="shared" si="0"/>
        <v>117135</v>
      </c>
      <c r="F7" s="8"/>
    </row>
    <row r="8" spans="1:6" x14ac:dyDescent="0.2">
      <c r="A8" s="4">
        <v>45995</v>
      </c>
      <c r="B8" s="3" t="s">
        <v>275</v>
      </c>
      <c r="C8" s="11"/>
      <c r="D8" s="5">
        <v>30135</v>
      </c>
      <c r="E8" s="7">
        <f t="shared" si="0"/>
        <v>87000</v>
      </c>
      <c r="F8" s="8"/>
    </row>
    <row r="9" spans="1:6" x14ac:dyDescent="0.2">
      <c r="A9" s="4">
        <v>45996</v>
      </c>
      <c r="B9" s="3" t="s">
        <v>276</v>
      </c>
      <c r="C9" s="11"/>
      <c r="D9" s="5">
        <v>12054</v>
      </c>
      <c r="E9" s="7">
        <f t="shared" si="0"/>
        <v>74946</v>
      </c>
      <c r="F9" s="9" t="s">
        <v>277</v>
      </c>
    </row>
    <row r="10" spans="1:6" x14ac:dyDescent="0.2">
      <c r="A10" s="4">
        <v>45996</v>
      </c>
      <c r="B10" s="3" t="s">
        <v>278</v>
      </c>
      <c r="C10" s="11"/>
      <c r="D10" s="5">
        <v>12054</v>
      </c>
      <c r="E10" s="7">
        <f t="shared" si="0"/>
        <v>62892</v>
      </c>
      <c r="F10" s="9" t="s">
        <v>279</v>
      </c>
    </row>
    <row r="11" spans="1:6" x14ac:dyDescent="0.2">
      <c r="A11" s="4">
        <v>45999</v>
      </c>
      <c r="B11" s="3" t="s">
        <v>280</v>
      </c>
      <c r="C11" s="11"/>
      <c r="D11" s="5">
        <v>5500</v>
      </c>
      <c r="E11" s="7">
        <f t="shared" si="0"/>
        <v>57392</v>
      </c>
      <c r="F11" s="8"/>
    </row>
    <row r="12" spans="1:6" x14ac:dyDescent="0.2">
      <c r="A12" s="4">
        <v>46000</v>
      </c>
      <c r="B12" s="3" t="s">
        <v>281</v>
      </c>
      <c r="C12" s="11"/>
      <c r="D12" s="5">
        <v>480</v>
      </c>
      <c r="E12" s="7">
        <f t="shared" si="0"/>
        <v>56912</v>
      </c>
      <c r="F12" s="8"/>
    </row>
    <row r="13" spans="1:6" x14ac:dyDescent="0.2">
      <c r="A13" s="4">
        <v>46001</v>
      </c>
      <c r="B13" s="3" t="s">
        <v>282</v>
      </c>
      <c r="C13" s="5">
        <v>63960</v>
      </c>
      <c r="D13" s="11"/>
      <c r="E13" s="7">
        <f t="shared" si="0"/>
        <v>120872</v>
      </c>
      <c r="F13" s="8"/>
    </row>
    <row r="14" spans="1:6" x14ac:dyDescent="0.2">
      <c r="A14" s="4">
        <v>46002</v>
      </c>
      <c r="B14" s="3" t="s">
        <v>283</v>
      </c>
      <c r="C14" s="11"/>
      <c r="D14" s="5">
        <v>4800</v>
      </c>
      <c r="E14" s="7">
        <f t="shared" si="0"/>
        <v>116072</v>
      </c>
      <c r="F14" s="8"/>
    </row>
    <row r="15" spans="1:6" x14ac:dyDescent="0.2">
      <c r="A15" s="4">
        <v>46003</v>
      </c>
      <c r="B15" s="3" t="s">
        <v>160</v>
      </c>
      <c r="C15" s="11"/>
      <c r="D15" s="5">
        <v>340</v>
      </c>
      <c r="E15" s="7">
        <f t="shared" si="0"/>
        <v>115732</v>
      </c>
      <c r="F15" s="8"/>
    </row>
    <row r="16" spans="1:6" x14ac:dyDescent="0.2">
      <c r="A16" s="4">
        <v>46007</v>
      </c>
      <c r="B16" s="3" t="s">
        <v>284</v>
      </c>
      <c r="C16" s="11"/>
      <c r="D16" s="5">
        <v>45</v>
      </c>
      <c r="E16" s="7">
        <f t="shared" si="0"/>
        <v>115687</v>
      </c>
      <c r="F16" s="9" t="s">
        <v>285</v>
      </c>
    </row>
    <row r="17" spans="1:6" x14ac:dyDescent="0.2">
      <c r="A17" s="4">
        <v>46009</v>
      </c>
      <c r="B17" s="3" t="s">
        <v>286</v>
      </c>
      <c r="C17" s="11"/>
      <c r="D17" s="5">
        <v>30750</v>
      </c>
      <c r="E17" s="7">
        <f t="shared" si="0"/>
        <v>84937</v>
      </c>
      <c r="F17" s="8"/>
    </row>
    <row r="18" spans="1:6" x14ac:dyDescent="0.2">
      <c r="A18" s="4">
        <v>46010</v>
      </c>
      <c r="B18" s="3" t="s">
        <v>287</v>
      </c>
      <c r="C18" s="11"/>
      <c r="D18" s="5">
        <v>4920</v>
      </c>
      <c r="E18" s="7">
        <f t="shared" si="0"/>
        <v>80017</v>
      </c>
      <c r="F18" s="8"/>
    </row>
    <row r="19" spans="1:6" x14ac:dyDescent="0.2">
      <c r="A19" s="4">
        <v>46013</v>
      </c>
      <c r="B19" s="3" t="s">
        <v>288</v>
      </c>
      <c r="C19" s="5">
        <v>10000</v>
      </c>
      <c r="D19" s="11"/>
      <c r="E19" s="7">
        <f t="shared" si="0"/>
        <v>90017</v>
      </c>
      <c r="F19" s="8"/>
    </row>
    <row r="20" spans="1:6" x14ac:dyDescent="0.2">
      <c r="A20" s="4">
        <v>46020</v>
      </c>
      <c r="B20" s="3" t="s">
        <v>289</v>
      </c>
      <c r="C20" s="11"/>
      <c r="D20" s="11"/>
      <c r="E20" s="18" t="s">
        <v>290</v>
      </c>
      <c r="F20" s="9" t="s">
        <v>291</v>
      </c>
    </row>
    <row r="22" spans="1:6" x14ac:dyDescent="0.2">
      <c r="B22" s="1" t="s">
        <v>292</v>
      </c>
      <c r="E22" s="12">
        <f>E19</f>
        <v>90017</v>
      </c>
    </row>
  </sheetData>
  <mergeCells count="2">
    <mergeCell ref="A2:F2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showGridLines="0" zoomScaleNormal="100" workbookViewId="0">
      <selection activeCell="B21" sqref="B21"/>
    </sheetView>
  </sheetViews>
  <sheetFormatPr baseColWidth="10" defaultColWidth="8.6640625" defaultRowHeight="15" x14ac:dyDescent="0.2"/>
  <cols>
    <col min="1" max="1" width="30" customWidth="1"/>
    <col min="2" max="2" width="55" customWidth="1"/>
    <col min="3" max="4" width="20" customWidth="1"/>
  </cols>
  <sheetData>
    <row r="1" spans="1:4" ht="18" customHeight="1" x14ac:dyDescent="0.2">
      <c r="A1" s="21" t="s">
        <v>293</v>
      </c>
      <c r="B1" s="20"/>
      <c r="C1" s="20"/>
      <c r="D1" s="20"/>
    </row>
    <row r="2" spans="1:4" x14ac:dyDescent="0.2">
      <c r="A2" s="19" t="s">
        <v>294</v>
      </c>
      <c r="B2" s="20"/>
      <c r="C2" s="20"/>
      <c r="D2" s="20"/>
    </row>
    <row r="4" spans="1:4" ht="30" customHeight="1" x14ac:dyDescent="0.2">
      <c r="A4" s="1" t="s">
        <v>295</v>
      </c>
      <c r="B4" s="27" t="s">
        <v>296</v>
      </c>
      <c r="C4" s="20"/>
      <c r="D4" s="20"/>
    </row>
    <row r="5" spans="1:4" ht="30" customHeight="1" x14ac:dyDescent="0.2">
      <c r="A5" s="1" t="s">
        <v>297</v>
      </c>
      <c r="B5" s="28" t="s">
        <v>298</v>
      </c>
      <c r="C5" s="20"/>
      <c r="D5" s="20"/>
    </row>
    <row r="6" spans="1:4" x14ac:dyDescent="0.2">
      <c r="A6" s="1" t="s">
        <v>299</v>
      </c>
      <c r="B6" s="13">
        <v>20000</v>
      </c>
    </row>
    <row r="7" spans="1:4" x14ac:dyDescent="0.2">
      <c r="A7" s="1" t="s">
        <v>300</v>
      </c>
      <c r="B7" s="14">
        <v>45809</v>
      </c>
    </row>
    <row r="8" spans="1:4" x14ac:dyDescent="0.2">
      <c r="A8" s="1" t="s">
        <v>301</v>
      </c>
      <c r="B8" s="14">
        <v>45823</v>
      </c>
    </row>
    <row r="9" spans="1:4" ht="30" customHeight="1" x14ac:dyDescent="0.2">
      <c r="A9" s="1" t="s">
        <v>302</v>
      </c>
      <c r="B9" s="27" t="s">
        <v>303</v>
      </c>
      <c r="C9" s="20"/>
      <c r="D9" s="20"/>
    </row>
    <row r="10" spans="1:4" ht="30" customHeight="1" x14ac:dyDescent="0.2">
      <c r="A10" s="1" t="s">
        <v>304</v>
      </c>
      <c r="B10" s="27" t="s">
        <v>305</v>
      </c>
      <c r="C10" s="20"/>
      <c r="D10" s="20"/>
    </row>
    <row r="11" spans="1:4" ht="30" customHeight="1" x14ac:dyDescent="0.2">
      <c r="A11" s="1" t="s">
        <v>306</v>
      </c>
      <c r="B11" s="27" t="s">
        <v>307</v>
      </c>
      <c r="C11" s="20"/>
      <c r="D11" s="20"/>
    </row>
  </sheetData>
  <mergeCells count="7">
    <mergeCell ref="B10:D10"/>
    <mergeCell ref="B11:D11"/>
    <mergeCell ref="A1:D1"/>
    <mergeCell ref="B5:D5"/>
    <mergeCell ref="B4:D4"/>
    <mergeCell ref="B9:D9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showGridLines="0" zoomScaleNormal="100" workbookViewId="0">
      <selection sqref="A1:F1"/>
    </sheetView>
  </sheetViews>
  <sheetFormatPr baseColWidth="10" defaultColWidth="8.6640625" defaultRowHeight="15" x14ac:dyDescent="0.2"/>
  <cols>
    <col min="1" max="1" width="30" customWidth="1"/>
    <col min="2" max="2" width="20" customWidth="1"/>
    <col min="3" max="3" width="16" customWidth="1"/>
    <col min="4" max="6" width="20" customWidth="1"/>
  </cols>
  <sheetData>
    <row r="1" spans="1:6" ht="18" customHeight="1" x14ac:dyDescent="0.2">
      <c r="A1" s="21" t="s">
        <v>308</v>
      </c>
      <c r="B1" s="20"/>
      <c r="C1" s="20"/>
      <c r="D1" s="20"/>
      <c r="E1" s="20"/>
      <c r="F1" s="20"/>
    </row>
    <row r="2" spans="1:6" x14ac:dyDescent="0.2">
      <c r="A2" s="19" t="s">
        <v>309</v>
      </c>
      <c r="B2" s="20"/>
      <c r="C2" s="20"/>
      <c r="D2" s="20"/>
      <c r="E2" s="20"/>
      <c r="F2" s="20"/>
    </row>
    <row r="4" spans="1:6" ht="28" customHeight="1" x14ac:dyDescent="0.2">
      <c r="A4" s="2" t="s">
        <v>310</v>
      </c>
      <c r="B4" s="2" t="s">
        <v>311</v>
      </c>
      <c r="C4" s="2" t="s">
        <v>312</v>
      </c>
      <c r="D4" s="2" t="s">
        <v>313</v>
      </c>
      <c r="E4" s="2" t="s">
        <v>314</v>
      </c>
      <c r="F4" s="2" t="s">
        <v>315</v>
      </c>
    </row>
    <row r="5" spans="1:6" x14ac:dyDescent="0.2">
      <c r="A5" s="3" t="s">
        <v>316</v>
      </c>
      <c r="B5" s="5">
        <v>3000</v>
      </c>
      <c r="C5" s="15">
        <v>0.1105</v>
      </c>
      <c r="D5" s="7">
        <f>B5*C5</f>
        <v>331.5</v>
      </c>
      <c r="E5" s="7">
        <f>B5+D5</f>
        <v>3331.5</v>
      </c>
      <c r="F5" s="3">
        <v>12</v>
      </c>
    </row>
    <row r="6" spans="1:6" x14ac:dyDescent="0.2">
      <c r="A6" s="3" t="s">
        <v>317</v>
      </c>
      <c r="B6" s="5">
        <v>2500</v>
      </c>
      <c r="C6" s="15">
        <v>0.1105</v>
      </c>
      <c r="D6" s="7">
        <f>B6*C6</f>
        <v>276.25</v>
      </c>
      <c r="E6" s="7">
        <f>B6+D6</f>
        <v>2776.25</v>
      </c>
      <c r="F6" s="3">
        <v>12</v>
      </c>
    </row>
    <row r="8" spans="1:6" x14ac:dyDescent="0.2">
      <c r="A8" s="1" t="s">
        <v>318</v>
      </c>
      <c r="E8" s="12">
        <f>SUMPRODUCT(E5:E6,F5:F6)</f>
        <v>73293</v>
      </c>
    </row>
    <row r="9" spans="1:6" x14ac:dyDescent="0.2">
      <c r="A9" s="1" t="s">
        <v>319</v>
      </c>
      <c r="E9" s="12">
        <f>SUMPRODUCT(B5:B6,F5:F6)</f>
        <v>66000</v>
      </c>
    </row>
    <row r="10" spans="1:6" x14ac:dyDescent="0.2">
      <c r="A10" s="1" t="s">
        <v>320</v>
      </c>
      <c r="E10" s="12">
        <f>SUMPRODUCT(D5:D6,F5:F6)</f>
        <v>7293</v>
      </c>
    </row>
  </sheetData>
  <mergeCells count="2">
    <mergeCell ref="A2:F2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"/>
  <sheetViews>
    <sheetView showGridLines="0" zoomScaleNormal="100" workbookViewId="0">
      <selection sqref="A1:J1"/>
    </sheetView>
  </sheetViews>
  <sheetFormatPr baseColWidth="10" defaultColWidth="8.6640625" defaultRowHeight="15" x14ac:dyDescent="0.2"/>
  <cols>
    <col min="1" max="1" width="18" customWidth="1"/>
    <col min="2" max="3" width="12" customWidth="1"/>
    <col min="4" max="4" width="32" customWidth="1"/>
    <col min="5" max="5" width="14" customWidth="1"/>
    <col min="6" max="6" width="16" customWidth="1"/>
    <col min="7" max="7" width="14" customWidth="1"/>
    <col min="8" max="8" width="16" customWidth="1"/>
    <col min="9" max="9" width="20" customWidth="1"/>
    <col min="10" max="10" width="40" customWidth="1"/>
  </cols>
  <sheetData>
    <row r="1" spans="1:10" ht="18" customHeight="1" x14ac:dyDescent="0.2">
      <c r="A1" s="21" t="s">
        <v>321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x14ac:dyDescent="0.2">
      <c r="A2" s="19" t="s">
        <v>322</v>
      </c>
      <c r="B2" s="20"/>
      <c r="C2" s="20"/>
      <c r="D2" s="20"/>
      <c r="E2" s="20"/>
      <c r="F2" s="20"/>
      <c r="G2" s="20"/>
      <c r="H2" s="20"/>
      <c r="I2" s="20"/>
      <c r="J2" s="20"/>
    </row>
    <row r="4" spans="1:10" ht="42" customHeight="1" x14ac:dyDescent="0.2">
      <c r="A4" s="2" t="s">
        <v>323</v>
      </c>
      <c r="B4" s="2" t="s">
        <v>324</v>
      </c>
      <c r="C4" s="2" t="s">
        <v>325</v>
      </c>
      <c r="D4" s="2" t="s">
        <v>326</v>
      </c>
      <c r="E4" s="2" t="s">
        <v>327</v>
      </c>
      <c r="F4" s="2" t="s">
        <v>328</v>
      </c>
      <c r="G4" s="2" t="s">
        <v>329</v>
      </c>
      <c r="H4" s="2" t="s">
        <v>330</v>
      </c>
      <c r="I4" s="2" t="s">
        <v>331</v>
      </c>
      <c r="J4" s="2" t="s">
        <v>271</v>
      </c>
    </row>
    <row r="5" spans="1:10" x14ac:dyDescent="0.2">
      <c r="A5" s="3" t="s">
        <v>332</v>
      </c>
      <c r="B5" s="3" t="s">
        <v>333</v>
      </c>
      <c r="C5" s="5">
        <v>1800</v>
      </c>
      <c r="D5" s="3" t="s">
        <v>334</v>
      </c>
      <c r="E5" s="3">
        <v>3</v>
      </c>
      <c r="F5" s="7">
        <f>C5/E5</f>
        <v>600</v>
      </c>
      <c r="G5" s="3">
        <v>2</v>
      </c>
      <c r="H5" s="7">
        <f>F5*G5/12</f>
        <v>100</v>
      </c>
      <c r="I5" s="7">
        <f>C5-H5</f>
        <v>1700</v>
      </c>
      <c r="J5" s="9" t="s">
        <v>335</v>
      </c>
    </row>
    <row r="6" spans="1:10" x14ac:dyDescent="0.2">
      <c r="A6" s="3" t="s">
        <v>336</v>
      </c>
      <c r="B6" s="3" t="s">
        <v>337</v>
      </c>
      <c r="C6" s="5">
        <v>25000</v>
      </c>
      <c r="D6" s="3" t="s">
        <v>338</v>
      </c>
      <c r="E6" s="3">
        <v>5</v>
      </c>
      <c r="F6" s="7">
        <f>C6/E6</f>
        <v>5000</v>
      </c>
      <c r="G6" s="3">
        <v>2</v>
      </c>
      <c r="H6" s="7">
        <f>F6*G6/12</f>
        <v>833.33333333333337</v>
      </c>
      <c r="I6" s="7">
        <f>C6-H6</f>
        <v>24166.666666666668</v>
      </c>
      <c r="J6" s="8"/>
    </row>
    <row r="7" spans="1:10" x14ac:dyDescent="0.2">
      <c r="A7" s="3" t="s">
        <v>174</v>
      </c>
      <c r="B7" s="3" t="s">
        <v>339</v>
      </c>
      <c r="C7" s="5">
        <v>4000</v>
      </c>
      <c r="D7" s="3" t="s">
        <v>340</v>
      </c>
      <c r="E7" s="3">
        <v>5</v>
      </c>
      <c r="F7" s="7">
        <f>C7/E7</f>
        <v>800</v>
      </c>
      <c r="G7" s="3">
        <v>2</v>
      </c>
      <c r="H7" s="7">
        <f>F7*G7/12</f>
        <v>133.33333333333334</v>
      </c>
      <c r="I7" s="7">
        <f>C7-H7</f>
        <v>3866.6666666666665</v>
      </c>
      <c r="J7" s="8"/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README_Assumptions</vt:lpstr>
      <vt:lpstr>Chart_of_Accounts</vt:lpstr>
      <vt:lpstr>Sales_Population</vt:lpstr>
      <vt:lpstr>Supplier_Bills_Population</vt:lpstr>
      <vt:lpstr>Bank_Statement_Dec2025</vt:lpstr>
      <vt:lpstr>Grant</vt:lpstr>
      <vt:lpstr>Payroll</vt:lpstr>
      <vt:lpstr>Fixed_Assets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Siddhant Wadhwa</cp:lastModifiedBy>
  <cp:revision>0</cp:revision>
  <dcterms:created xsi:type="dcterms:W3CDTF">2026-08-09T15:52:43Z</dcterms:created>
  <dcterms:modified xsi:type="dcterms:W3CDTF">2026-08-14T10:29:03Z</dcterms:modified>
  <dc:language>en-US</dc:language>
</cp:coreProperties>
</file>